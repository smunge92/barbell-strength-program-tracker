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ME" state="visible" r:id="rId4"/>
    <sheet sheetId="2" name="Settings" state="visible" r:id="rId5"/>
    <sheet sheetId="3" name="Assistance Exercises" state="visible" r:id="rId6"/>
    <sheet sheetId="4" name="Workout Log" state="visible" r:id="rId7"/>
    <sheet sheetId="5" name="Warm-Up Calculator" state="visible" r:id="rId8"/>
    <sheet sheetId="6" name="Body Weight Log" state="visible" r:id="rId9"/>
    <sheet sheetId="7" name="Progress Summary" state="visible" r:id="rId10"/>
    <sheet sheetId="8" name="Progress Chart" state="visible" r:id="rId11"/>
    <sheet sheetId="9" name="Program Phase" state="visible" r:id="rId12"/>
  </sheets>
  <definedNames>
    <definedName name="BarWeight">Settings!$B$2</definedName>
    <definedName name="SquatStart">Settings!$B$5</definedName>
    <definedName name="BenchStart">Settings!$B$6</definedName>
    <definedName name="DeadliftStart">Settings!$B$7</definedName>
    <definedName name="PressStart">Settings!$B$8</definedName>
    <definedName name="CleanStart">Settings!$B$9</definedName>
    <definedName name="SquatInc">Settings!$B$12</definedName>
    <definedName name="BenchInc">Settings!$B$13</definedName>
    <definedName name="DeadliftInc">Settings!$B$14</definedName>
    <definedName name="PressInc">Settings!$B$15</definedName>
    <definedName name="CleanInc">Settings!$B$16</definedName>
    <definedName name="TotalSessions">Settings!$B$32</definedName>
    <definedName name="CurrentWeek">Settings!$B$33</definedName>
    <definedName name="ChinUpsIntroWeek">Settings!$B$36</definedName>
    <definedName name="LightSquatPct">Settings!$B$37</definedName>
    <definedName name="LightSquatInc">Settings!$B$38</definedName>
    <definedName name="StallThreshold">Settings!$B$21</definedName>
    <definedName name="DeloadPct">Settings!$B$22</definedName>
  </definedNames>
  <calcPr calcId="171027"/>
</workbook>
</file>

<file path=xl/sharedStrings.xml><?xml version="1.0" encoding="utf-8"?>
<sst xmlns="http://schemas.openxmlformats.org/spreadsheetml/2006/main" count="3250" uniqueCount="254">
  <si>
    <t/>
  </si>
  <si>
    <t>🏋️  BARBELL STRENGTH TRACKER  🏋️</t>
  </si>
  <si>
    <t>Novice Linear Progression Program by Mark Rippetoe</t>
  </si>
  <si>
    <t>Version 2.5 | Auto-Detection, Progress Tracking &amp; Smart Exercise Introduction</t>
  </si>
  <si>
    <t>⚡ QUICK START</t>
  </si>
  <si>
    <t>1️⃣  Go to Settings → Enter your starting weights</t>
  </si>
  <si>
    <t>2️⃣  Go to Workout Log → Select Date, Workout (A/B), Exercise</t>
  </si>
  <si>
    <t>3️⃣  Enter Actual Weight lifted and Reps for each set</t>
  </si>
  <si>
    <t>4️⃣  Check Status column → "OK" = success, "STALL" = missed reps</t>
  </si>
  <si>
    <t>5️⃣  Review Progress Chart → Watch your gains grow!</t>
  </si>
  <si>
    <t>📋 THE PROGRAM</t>
  </si>
  <si>
    <t xml:space="preserve">  WORKOUT A</t>
  </si>
  <si>
    <t>Squat 3×5  |  Bench Press 3×5  |  Deadlift 1×5</t>
  </si>
  <si>
    <t xml:space="preserve">  WORKOUT B</t>
  </si>
  <si>
    <t>Squat 3×5  |  Overhead Press 3×5  |  Deadlift 1×5</t>
  </si>
  <si>
    <t xml:space="preserve">  📅 SCHEDULE</t>
  </si>
  <si>
    <t>3 days/week: Mon-Wed-Fri alternating A-B-A, B-A-B</t>
  </si>
  <si>
    <t>📑 SHEETS GUIDE</t>
  </si>
  <si>
    <t>⚙️ Settings</t>
  </si>
  <si>
    <t>Configure starting weights, increments, bar weight</t>
  </si>
  <si>
    <t>💪 Assistance Exercises</t>
  </si>
  <si>
    <t>Add/remove optional exercises (don't affect progression)</t>
  </si>
  <si>
    <t>📝 Workout Log</t>
  </si>
  <si>
    <t>Main tracking - auto-calculates targets &amp; detects stalls</t>
  </si>
  <si>
    <t>🔥 Warm-Up Calculator</t>
  </si>
  <si>
    <t>Enter working weight, see warm-up progression</t>
  </si>
  <si>
    <t>⚖️ Body Weight Log</t>
  </si>
  <si>
    <t>Optional weekly weigh-ins with statistics</t>
  </si>
  <si>
    <t>📊 Progress Summary</t>
  </si>
  <si>
    <t>Auto-updating weekly best lifts table</t>
  </si>
  <si>
    <t>📈 Progress Chart</t>
  </si>
  <si>
    <t>Visual chart of your strength progression</t>
  </si>
  <si>
    <t>🎯 Program Phase</t>
  </si>
  <si>
    <t>Auto-detects stalls &amp; transition timing</t>
  </si>
  <si>
    <t>💡 PRO TIPS</t>
  </si>
  <si>
    <t>✓ Target Weight auto-fills based on your last successful lift + increment</t>
  </si>
  <si>
    <t>✓ Just enter Actual Weight and Reps - everything else calculates automatically</t>
  </si>
  <si>
    <t>✓ STALL means you missed target reps - try same weight next session</t>
  </si>
  <si>
    <t>✓ After 3 stalls on an exercise, consider moving to Intermediate program</t>
  </si>
  <si>
    <t>✓ Deload 10% after stalls, work back up before changing programs</t>
  </si>
  <si>
    <t>⚠️ WHEN TO TRANSITION TO INTERMEDIATE</t>
  </si>
  <si>
    <t>→ Program Phase sheet shows "⚠️ TRANSITION NEEDED" for an exercise</t>
  </si>
  <si>
    <t>→ You've accumulated 3+ stalls at the same weight</t>
  </si>
  <si>
    <t>→ Deloading and working back up no longer helps</t>
  </si>
  <si>
    <t>→ Recovery between sessions feels insufficient</t>
  </si>
  <si>
    <t>🎯 EXERCISE INTRODUCTION TIMING</t>
  </si>
  <si>
    <t>🏋️ Light Squat: Appears when any lift reaches INTERMEDIATE (stall threshold)</t>
  </si>
  <si>
    <t xml:space="preserve">   → Uses 80% of your Squat working weight (configurable in Settings)</t>
  </si>
  <si>
    <t xml:space="preserve">   → Helps maintain squat frequency when transitioning programs</t>
  </si>
  <si>
    <t>💪 Chin Ups: Appears after 2 weeks of training (configurable in Settings)</t>
  </si>
  <si>
    <t xml:space="preserve">   → Gives time to establish baseline before adding pulling work</t>
  </si>
  <si>
    <t>⚙️ Customize timing in Settings under "EXERCISE INTRODUCTION"</t>
  </si>
  <si>
    <t>Based on "Starting Strength: Basic Barbell Training" by Mark Rippetoe</t>
  </si>
  <si>
    <t>Get stronger. Add weight. Repeat. 💪</t>
  </si>
  <si>
    <t>⚠️ DISCLAIMER: This is an unofficial community tool, not affiliated with or endorsed by Starting Strength, Inc. or Aasgaard Company.</t>
  </si>
  <si>
    <t>Setting</t>
  </si>
  <si>
    <t>Value</t>
  </si>
  <si>
    <t>Unit</t>
  </si>
  <si>
    <t>Notes</t>
  </si>
  <si>
    <t>Bar Weight</t>
  </si>
  <si>
    <t>lbs</t>
  </si>
  <si>
    <t>Standard Olympic barbell</t>
  </si>
  <si>
    <t>STARTING WEIGHTS</t>
  </si>
  <si>
    <t>Enter your tested 5RM or conservative starting weight</t>
  </si>
  <si>
    <t>Squat Starting Weight</t>
  </si>
  <si>
    <t>Bench Press Starting Weight</t>
  </si>
  <si>
    <t>Deadlift Starting Weight</t>
  </si>
  <si>
    <t>Overhead Press Starting Weight</t>
  </si>
  <si>
    <t>Power Clean Starting Weight</t>
  </si>
  <si>
    <t>(Optional - can add later)</t>
  </si>
  <si>
    <t>WEIGHT INCREMENTS</t>
  </si>
  <si>
    <t>Amount to add each successful session (min 5 lbs with 2.5 lb plates)</t>
  </si>
  <si>
    <t>Squat Increment</t>
  </si>
  <si>
    <t>Can use 10 lbs early on</t>
  </si>
  <si>
    <t>Bench Press Increment</t>
  </si>
  <si>
    <t>Minimum with 2.5 lb plates per side</t>
  </si>
  <si>
    <t>Deadlift Increment</t>
  </si>
  <si>
    <t>Can use 5 lbs when progress slows</t>
  </si>
  <si>
    <t>Overhead Press Increment</t>
  </si>
  <si>
    <t>Slowest progressing lift - stay patient</t>
  </si>
  <si>
    <t>Power Clean Increment</t>
  </si>
  <si>
    <t>AVAILABLE PLATES</t>
  </si>
  <si>
    <t>2.5, 5, 10, 25, 45 lbs</t>
  </si>
  <si>
    <t>PROGRAM SETTINGS</t>
  </si>
  <si>
    <t>Stall Threshold</t>
  </si>
  <si>
    <t>sessions</t>
  </si>
  <si>
    <t>Consecutive stalls before suggesting program change</t>
  </si>
  <si>
    <t>Deload Percentage</t>
  </si>
  <si>
    <t>%</t>
  </si>
  <si>
    <t>Amount to reduce weight after stall</t>
  </si>
  <si>
    <t>TARGET REPS</t>
  </si>
  <si>
    <t>Expected reps per set for each exercise</t>
  </si>
  <si>
    <t>Squat Target Reps</t>
  </si>
  <si>
    <t>reps</t>
  </si>
  <si>
    <t>3 sets of 5</t>
  </si>
  <si>
    <t>Bench Press Target Reps</t>
  </si>
  <si>
    <t>Deadlift Target Reps</t>
  </si>
  <si>
    <t>1 set of 5</t>
  </si>
  <si>
    <t>Overhead Press Target Reps</t>
  </si>
  <si>
    <t>Power Clean Target Reps</t>
  </si>
  <si>
    <t>5 sets of 3</t>
  </si>
  <si>
    <t>SESSION TRACKING</t>
  </si>
  <si>
    <t>Total Sessions</t>
  </si>
  <si>
    <t>Auto-calculated from Workout Log (unique dates)</t>
  </si>
  <si>
    <t>Current Week</t>
  </si>
  <si>
    <t>CEILING(TotalSessions/3, 1) - assumes 3 sessions/week</t>
  </si>
  <si>
    <t>EXERCISE INTRODUCTION</t>
  </si>
  <si>
    <t>When exercises become available</t>
  </si>
  <si>
    <t>Chin Ups Introduction Week</t>
  </si>
  <si>
    <t>weeks</t>
  </si>
  <si>
    <t>Chin Ups appear in dropdown after this many weeks</t>
  </si>
  <si>
    <t>Light Squat Percentage</t>
  </si>
  <si>
    <t>Light Squat weight = this % of Squat working weight</t>
  </si>
  <si>
    <t>Light Squat Increment</t>
  </si>
  <si>
    <t>Weight increase per session for Light Squat</t>
  </si>
  <si>
    <t>ASSISTANCE EXERCISES</t>
  </si>
  <si>
    <t>EXERCISE LIST</t>
  </si>
  <si>
    <t>Add or remove exercises below. These appear in the Workout Log dropdown but do NOT affect progression tracking.</t>
  </si>
  <si>
    <t>Squat</t>
  </si>
  <si>
    <t>Bench Press</t>
  </si>
  <si>
    <t>Exercise Name</t>
  </si>
  <si>
    <t>Suggested Scheme</t>
  </si>
  <si>
    <t>Deadlift</t>
  </si>
  <si>
    <t>Barbell Curls</t>
  </si>
  <si>
    <t>3x10</t>
  </si>
  <si>
    <t>Bicep isolation</t>
  </si>
  <si>
    <t>Overhead Press</t>
  </si>
  <si>
    <t>Back Extension</t>
  </si>
  <si>
    <t>3x10-15</t>
  </si>
  <si>
    <t>Lower back and glutes</t>
  </si>
  <si>
    <t>Power Clean</t>
  </si>
  <si>
    <t>Skull Crushers</t>
  </si>
  <si>
    <t>Tricep isolation - use EZ bar</t>
  </si>
  <si>
    <t>Tricep Pushdown</t>
  </si>
  <si>
    <t>3x10-12</t>
  </si>
  <si>
    <t>Cable machine</t>
  </si>
  <si>
    <t>Dips</t>
  </si>
  <si>
    <t>3x8-10</t>
  </si>
  <si>
    <t>Can add weight when bodyweight becomes easy</t>
  </si>
  <si>
    <t>💡 Tip: Add exercises in column A. They will automatically appear in the Workout Log dropdown.</t>
  </si>
  <si>
    <t>Assistance exercises show "—" for Target Weight and Status (no auto-progression).</t>
  </si>
  <si>
    <t>SETS GUIDE:</t>
  </si>
  <si>
    <t>Squat: 3 sets x 5 reps (3x5)</t>
  </si>
  <si>
    <t>Bench Press: 3 sets x 5 reps (3x5)</t>
  </si>
  <si>
    <t>Deadlift: 1 set x 5 reps (1x5)</t>
  </si>
  <si>
    <t>Overhead Press: 3 sets x 5 reps (3x5)</t>
  </si>
  <si>
    <t>Power Clean: 5 sets x 3 reps (5x3)</t>
  </si>
  <si>
    <t>ASSISTANCE: 3x10 (configure in "Assistance Exercises" sheet — does NOT affect progression)</t>
  </si>
  <si>
    <t>Date</t>
  </si>
  <si>
    <t>Type</t>
  </si>
  <si>
    <t>Exercise</t>
  </si>
  <si>
    <t>Scheme</t>
  </si>
  <si>
    <t>Target Weight</t>
  </si>
  <si>
    <t>Actual Weight</t>
  </si>
  <si>
    <t>Set 1</t>
  </si>
  <si>
    <t>Set 2</t>
  </si>
  <si>
    <t>Set 3</t>
  </si>
  <si>
    <t>Set 4</t>
  </si>
  <si>
    <t>Set 5</t>
  </si>
  <si>
    <t>Total Reps</t>
  </si>
  <si>
    <t>Target Reps</t>
  </si>
  <si>
    <t>Status</t>
  </si>
  <si>
    <t>SquatWt</t>
  </si>
  <si>
    <t>BenchWt</t>
  </si>
  <si>
    <t>DeadliftWt</t>
  </si>
  <si>
    <t>OHPWt</t>
  </si>
  <si>
    <t>CleanWt</t>
  </si>
  <si>
    <t>A/B</t>
  </si>
  <si>
    <t>Select ↓</t>
  </si>
  <si>
    <t>Auto</t>
  </si>
  <si>
    <t>Enter</t>
  </si>
  <si>
    <t>Reps</t>
  </si>
  <si>
    <t>-</t>
  </si>
  <si>
    <t>Helper</t>
  </si>
  <si>
    <t>WARM-UP CALCULATOR</t>
  </si>
  <si>
    <t>Enter Your Working Weight:</t>
  </si>
  <si>
    <t>Working Weight (lbs):</t>
  </si>
  <si>
    <t>Bar Weight (lbs):</t>
  </si>
  <si>
    <t>Set</t>
  </si>
  <si>
    <t>Weight (lbs)</t>
  </si>
  <si>
    <t>Rest</t>
  </si>
  <si>
    <t>1</t>
  </si>
  <si>
    <t>None</t>
  </si>
  <si>
    <t>2</t>
  </si>
  <si>
    <t>3</t>
  </si>
  <si>
    <t>1 min</t>
  </si>
  <si>
    <t>4</t>
  </si>
  <si>
    <t>5</t>
  </si>
  <si>
    <t>2 min</t>
  </si>
  <si>
    <t>WORK</t>
  </si>
  <si>
    <t>3x5 or 1x5</t>
  </si>
  <si>
    <t>3-5 min</t>
  </si>
  <si>
    <t>WARM-UP GUIDELINES:</t>
  </si>
  <si>
    <t>- Empty bar sets: Focus on form and bar path</t>
  </si>
  <si>
    <t>- Increase speed slightly with each warm-up set</t>
  </si>
  <si>
    <t>- Do NOT fatigue yourself - warm-ups prepare, not tire</t>
  </si>
  <si>
    <t>- Rest just long enough to load the bar between warm-up sets</t>
  </si>
  <si>
    <t>- Take full rest (3-5 min) before work sets</t>
  </si>
  <si>
    <t>NOTE: Weights are automatically rounded to nearest 5 lbs</t>
  </si>
  <si>
    <t>Statistics</t>
  </si>
  <si>
    <t>Starting Weight:</t>
  </si>
  <si>
    <t>Current Weight:</t>
  </si>
  <si>
    <t>Total Change:</t>
  </si>
  <si>
    <t>Average Weight:</t>
  </si>
  <si>
    <t>Weigh-ins Count:</t>
  </si>
  <si>
    <t>PROGRESS SUMMARY - Auto-Updated from Workout Log</t>
  </si>
  <si>
    <t>Week</t>
  </si>
  <si>
    <t>End Date</t>
  </si>
  <si>
    <t>Bench</t>
  </si>
  <si>
    <t>OHP</t>
  </si>
  <si>
    <t>P.Clean</t>
  </si>
  <si>
    <t>Body Wt</t>
  </si>
  <si>
    <t>NOTE: Values show your BEST successful lift for each exercise. Updates automatically as you log workouts.</t>
  </si>
  <si>
    <t>STRENGTH PROGRESSION CHART</t>
  </si>
  <si>
    <t>This chart updates automatically when you add workout data.</t>
  </si>
  <si>
    <t>To view the chart: Select data in Progress Summary (A3:H55) → Insert → Chart → Line Chart</t>
  </si>
  <si>
    <t>MANUAL CHART CREATION STEPS:</t>
  </si>
  <si>
    <t>1. Go to Progress Summary sheet</t>
  </si>
  <si>
    <t>2. Select cells A3 through H55 (headers + data)</t>
  </si>
  <si>
    <t>3. Click Insert → Chart (or Insert → Recommended Charts)</t>
  </si>
  <si>
    <t>4. Choose "Line with Markers"</t>
  </si>
  <si>
    <t>5. The chart will auto-update as you add workout data</t>
  </si>
  <si>
    <t>CURRENT PR (Personal Records):</t>
  </si>
  <si>
    <t>Squat PR:</t>
  </si>
  <si>
    <t>Bench PR:</t>
  </si>
  <si>
    <t>Deadlift PR:</t>
  </si>
  <si>
    <t>OHP PR:</t>
  </si>
  <si>
    <t>Power Clean PR:</t>
  </si>
  <si>
    <t>PROGRAM PHASE TRACKER - Auto-Detection</t>
  </si>
  <si>
    <t>Current Phase:</t>
  </si>
  <si>
    <t>Overall Status:</t>
  </si>
  <si>
    <t>STALL TRACKING (Auto-Calculated)</t>
  </si>
  <si>
    <t>Consecutive Stalls</t>
  </si>
  <si>
    <t>PHASE DEFINITIONS</t>
  </si>
  <si>
    <t>NOVICE</t>
  </si>
  <si>
    <t>Linear Progression</t>
  </si>
  <si>
    <t>Add weight every session. Recover between sessions (48-72 hrs).</t>
  </si>
  <si>
    <t>Duration: 3-9 months depending on age, diet, sleep.</t>
  </si>
  <si>
    <t>INTERMEDIATE</t>
  </si>
  <si>
    <t>Weekly Progression</t>
  </si>
  <si>
    <t>Add weight every week. Recovery takes longer than one session.</t>
  </si>
  <si>
    <t>Programs: Texas Method, HLM, or similar periodization.</t>
  </si>
  <si>
    <t>ADVANCED</t>
  </si>
  <si>
    <t>Monthly Progression</t>
  </si>
  <si>
    <t>Complex periodization. Most people never truly reach this.</t>
  </si>
  <si>
    <t>WHAT TO DO WHEN YOU STALL</t>
  </si>
  <si>
    <t>1 Stall:</t>
  </si>
  <si>
    <t>Try again next session. Ensure sleep, food, and recovery are good.</t>
  </si>
  <si>
    <t>2 Stalls:</t>
  </si>
  <si>
    <t>Deload 10% and work back up. Check form.</t>
  </si>
  <si>
    <t>3+ Stalls:</t>
  </si>
  <si>
    <t>Time to consider Intermediate programming for this lift.</t>
  </si>
  <si>
    <t>IMPORTANT:</t>
  </si>
  <si>
    <t>Exhaust ALL novice gains first. Most people move too early.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</si>
</sst>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3" x14ac:knownFonts="1">
    <font>
      <color theme="1"/>
      <family val="2"/>
      <scheme val="minor"/>
      <sz val="11"/>
      <name val="Calibri"/>
    </font>
    <font>
      <b/>
      <color rgb="FFFFFFFF"/>
      <sz val="28"/>
    </font>
    <font>
      <i/>
      <color rgb="FFFFFFFF"/>
      <sz val="14"/>
    </font>
    <font>
      <color rgb="FFD6DCE4"/>
      <sz val="10"/>
    </font>
    <font>
      <b/>
      <color rgb="FFFFFFFF"/>
      <sz val="14"/>
    </font>
    <font>
      <sz val="11"/>
    </font>
    <font>
      <b/>
      <color rgb="FF1F4E79"/>
      <sz val="12"/>
    </font>
    <font>
      <b/>
      <color rgb="FF375623"/>
      <sz val="12"/>
    </font>
    <font>
      <b/>
      <sz val="11"/>
    </font>
    <font>
      <color rgb="FF404040"/>
      <sz val="11"/>
    </font>
    <font>
      <b/>
      <color rgb="FF7030A0"/>
      <sz val="14"/>
    </font>
    <font>
      <b/>
      <color rgb="FF9C5700"/>
      <sz val="14"/>
    </font>
    <font>
      <i/>
      <color rgb="FF808080"/>
      <sz val="10"/>
    </font>
    <font>
      <b/>
      <color rgb="FF2F5496"/>
      <sz val="12"/>
    </font>
    <font>
      <i/>
      <color rgb="FF808080"/>
      <sz val="9"/>
    </font>
    <font>
      <b/>
      <color rgb="FFFFFFFF"/>
    </font>
    <font>
      <b/>
    </font>
    <font>
      <b/>
      <color rgb="FFFFFFFF"/>
      <sz val="16"/>
    </font>
    <font>
      <b/>
      <color rgb="FFFFFFFF"/>
      <sz val="11"/>
    </font>
    <font>
      <i/>
      <color rgb="FF666666"/>
      <sz val="10"/>
    </font>
    <font>
      <i/>
      <color rgb="FF7030A0"/>
    </font>
    <font>
      <sz val="10"/>
    </font>
    <font>
      <i/>
      <color rgb="FF7030A0"/>
      <sz val="10"/>
    </font>
    <font>
      <b/>
      <color rgb="FF0070C0"/>
      <sz val="10"/>
    </font>
    <font>
      <color rgb="FF0070C0"/>
      <sz val="10"/>
    </font>
    <font>
      <i/>
      <sz val="9"/>
    </font>
    <font>
      <i/>
      <color rgb="FF999999"/>
      <sz val="9"/>
    </font>
    <font>
      <b/>
      <color rgb="FF2F5496"/>
      <sz val="16"/>
    </font>
    <font>
      <b/>
      <color rgb="FF2F5496"/>
      <sz val="14"/>
    </font>
    <font>
      <i/>
      <color rgb="FF666666"/>
    </font>
    <font>
      <b/>
      <sz val="14"/>
    </font>
    <font>
      <b/>
      <sz val="12"/>
    </font>
    <font>
      <b/>
      <color rgb="FFFF0000"/>
    </font>
  </fonts>
  <fills count="22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70AD47"/>
      </patternFill>
    </fill>
    <fill>
      <patternFill patternType="solid">
        <fgColor rgb="FFE2EFDA"/>
      </patternFill>
    </fill>
    <fill>
      <patternFill patternType="solid">
        <fgColor rgb="FF2F5496"/>
      </patternFill>
    </fill>
    <fill>
      <patternFill patternType="solid">
        <fgColor rgb="FFDCE6F1"/>
      </patternFill>
    </fill>
    <fill>
      <patternFill patternType="solid">
        <fgColor rgb="FFF2F2F2"/>
      </patternFill>
    </fill>
    <fill>
      <patternFill patternType="solid">
        <fgColor rgb="FFED7D31"/>
      </patternFill>
    </fill>
    <fill>
      <patternFill patternType="solid">
        <fgColor rgb="FFFEF4EC"/>
      </patternFill>
    </fill>
    <fill>
      <patternFill patternType="solid">
        <fgColor rgb="FFFFFFFF"/>
      </patternFill>
    </fill>
    <fill>
      <patternFill patternType="solid">
        <fgColor rgb="FFE4DFEC"/>
      </patternFill>
    </fill>
    <fill>
      <patternFill patternType="solid">
        <fgColor rgb="FFF3F0F7"/>
      </patternFill>
    </fill>
    <fill>
      <patternFill patternType="solid">
        <fgColor rgb="FFFFF2CC"/>
      </patternFill>
    </fill>
    <fill>
      <patternFill patternType="solid">
        <fgColor rgb="FFFFF9E6"/>
      </patternFill>
    </fill>
    <fill>
      <patternFill patternType="solid">
        <fgColor rgb="FF7030A0"/>
      </patternFill>
    </fill>
    <fill>
      <patternFill patternType="solid">
        <fgColor rgb="FFFFFFCC"/>
      </patternFill>
    </fill>
    <fill>
      <patternFill patternType="solid">
        <fgColor rgb="FFD6DCE4"/>
      </patternFill>
    </fill>
    <fill>
      <patternFill patternType="solid">
        <fgColor rgb="FF9933FF"/>
      </patternFill>
    </fill>
    <fill>
      <patternFill patternType="solid">
        <fgColor rgb="FFE8E8E8"/>
      </patternFill>
    </fill>
    <fill>
      <patternFill patternType="solid">
        <fgColor rgb="FF92D050"/>
      </patternFill>
    </fill>
  </fills>
  <borders count="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medium"/>
      <right style="medium"/>
      <top style="medium"/>
      <bottom style="medium"/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vertical="center" indent="1"/>
    </xf>
    <xf numFmtId="0" fontId="4" fillId="6" borderId="0" xfId="0" applyFont="1" applyFill="1" applyAlignment="1">
      <alignment horizontal="center" vertical="center"/>
    </xf>
    <xf numFmtId="0" fontId="6" fillId="7" borderId="0" xfId="0" applyFont="1" applyFill="1"/>
    <xf numFmtId="0" fontId="5" fillId="7" borderId="0" xfId="0" applyFont="1" applyFill="1" applyAlignment="1">
      <alignment horizontal="center" vertical="center"/>
    </xf>
    <xf numFmtId="0" fontId="7" fillId="5" borderId="0" xfId="0" applyFont="1" applyFill="1"/>
    <xf numFmtId="0" fontId="5" fillId="5" borderId="0" xfId="0" applyFont="1" applyFill="1" applyAlignment="1">
      <alignment horizontal="center" vertical="center"/>
    </xf>
    <xf numFmtId="0" fontId="8" fillId="8" borderId="0" xfId="0" applyFont="1" applyFill="1"/>
    <xf numFmtId="0" fontId="5" fillId="8" borderId="0" xfId="0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8" fillId="10" borderId="0" xfId="0" applyFont="1" applyFill="1"/>
    <xf numFmtId="0" fontId="9" fillId="10" borderId="0" xfId="0" applyFont="1" applyFill="1"/>
    <xf numFmtId="0" fontId="8" fillId="11" borderId="0" xfId="0" applyFont="1" applyFill="1"/>
    <xf numFmtId="0" fontId="9" fillId="11" borderId="0" xfId="0" applyFont="1" applyFill="1"/>
    <xf numFmtId="0" fontId="10" fillId="12" borderId="0" xfId="0" applyFont="1" applyFill="1" applyAlignment="1">
      <alignment horizontal="center" vertical="center"/>
    </xf>
    <xf numFmtId="0" fontId="5" fillId="13" borderId="0" xfId="0" applyFont="1" applyFill="1" applyAlignment="1">
      <alignment vertical="center" indent="1"/>
    </xf>
    <xf numFmtId="0" fontId="11" fillId="14" borderId="0" xfId="0" applyFont="1" applyFill="1" applyAlignment="1">
      <alignment horizontal="center" vertical="center"/>
    </xf>
    <xf numFmtId="0" fontId="5" fillId="15" borderId="0" xfId="0" applyFont="1" applyFill="1" applyAlignment="1">
      <alignment vertical="center" indent="1"/>
    </xf>
    <xf numFmtId="0" fontId="4" fillId="16" borderId="0" xfId="0" applyFont="1" applyFill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5" fillId="6" borderId="0" xfId="0" applyFont="1" applyFill="1"/>
    <xf numFmtId="0" fontId="0" fillId="17" borderId="1" xfId="0" applyFill="1" applyBorder="1"/>
    <xf numFmtId="0" fontId="16" fillId="18" borderId="0" xfId="0" applyFont="1" applyFill="1"/>
    <xf numFmtId="0" fontId="17" fillId="19" borderId="0" xfId="0" applyFont="1" applyFill="1" applyAlignment="1">
      <alignment horizontal="center" vertical="center"/>
    </xf>
    <xf numFmtId="0" fontId="18" fillId="6" borderId="0" xfId="0" applyFont="1" applyFill="1" applyAlignment="1">
      <alignment horizontal="center" vertical="center"/>
    </xf>
    <xf numFmtId="0" fontId="19" fillId="0" borderId="0" xfId="0" applyFont="1"/>
    <xf numFmtId="0" fontId="16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23" fillId="7" borderId="0" xfId="0" applyFont="1" applyFill="1"/>
    <xf numFmtId="0" fontId="24" fillId="0" borderId="0" xfId="0" applyFont="1"/>
    <xf numFmtId="0" fontId="24" fillId="7" borderId="0" xfId="0" applyFont="1" applyFill="1"/>
    <xf numFmtId="0" fontId="25" fillId="18" borderId="0" xfId="0" applyFont="1" applyFill="1"/>
    <xf numFmtId="0" fontId="26" fillId="18" borderId="0" xfId="0" applyFont="1" applyFill="1"/>
    <xf numFmtId="0" fontId="0" fillId="0" borderId="1" xfId="0" applyBorder="1"/>
    <xf numFmtId="0" fontId="0" fillId="20" borderId="1" xfId="0" applyFill="1" applyBorder="1"/>
    <xf numFmtId="0" fontId="27" fillId="0" borderId="0" xfId="0" applyFont="1"/>
    <xf numFmtId="0" fontId="0" fillId="17" borderId="2" xfId="0" applyFill="1" applyBorder="1"/>
    <xf numFmtId="0" fontId="15" fillId="0" borderId="0" xfId="0" applyFont="1"/>
    <xf numFmtId="0" fontId="0" fillId="8" borderId="0" xfId="0" applyFill="1"/>
    <xf numFmtId="0" fontId="16" fillId="21" borderId="0" xfId="0" applyFont="1" applyFill="1"/>
    <xf numFmtId="0" fontId="28" fillId="0" borderId="0" xfId="0" applyFont="1"/>
    <xf numFmtId="0" fontId="29" fillId="0" borderId="0" xfId="0" applyFont="1"/>
    <xf numFmtId="0" fontId="30" fillId="0" borderId="0" xfId="0" applyFont="1"/>
    <xf numFmtId="0" fontId="4" fillId="0" borderId="0" xfId="0" applyFont="1"/>
    <xf numFmtId="0" fontId="31" fillId="0" borderId="0" xfId="0" applyFont="1"/>
    <xf numFmtId="0" fontId="31" fillId="18" borderId="0" xfId="0" applyFont="1" applyFill="1"/>
    <xf numFmtId="0" fontId="0" fillId="8" borderId="1" xfId="0" applyFill="1" applyBorder="1" applyAlignment="1">
      <alignment horizontal="center"/>
    </xf>
    <xf numFmtId="0" fontId="32" fillId="0" borderId="0" xfId="0" applyFont="1"/>
  </cellXfs>
  <cellStyles count="1">
    <cellStyle name="Normal" xfId="0" builtinId="0"/>
  </cellStyles>
  <dxfs count="4">
    <dxf>
      <font>
        <b/>
        <color rgb="FF8B0000"/>
      </font>
      <fill>
        <patternFill patternType="solid">
          <bgColor rgb="FFFF6B6B"/>
        </patternFill>
      </fill>
    </dxf>
    <dxf>
      <font>
        <color rgb="FF006400"/>
      </font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D54"/>
  <sheetFormatPr defaultRowHeight="15" outlineLevelRow="0" outlineLevelCol="0" x14ac:dyDescent="55"/>
  <cols>
    <col min="1" max="1" width="5" customWidth="1"/>
    <col min="2" max="3" width="50" customWidth="1"/>
    <col min="4" max="4" width="5" customWidth="1"/>
  </cols>
  <sheetData>
    <row r="1" ht="15" customHeight="1" spans="1:4" x14ac:dyDescent="0.25">
      <c r="A1" s="1" t="s">
        <v>0</v>
      </c>
      <c r="B1" s="1"/>
      <c r="C1" s="1"/>
      <c r="D1" s="1"/>
    </row>
    <row r="2" ht="45" customHeight="1" spans="1:4" x14ac:dyDescent="0.25">
      <c r="A2" s="2" t="s">
        <v>1</v>
      </c>
      <c r="B2" s="2"/>
      <c r="C2" s="2"/>
      <c r="D2" s="2"/>
    </row>
    <row r="3" ht="25" customHeight="1" spans="1:4" x14ac:dyDescent="0.25">
      <c r="A3" s="3" t="s">
        <v>2</v>
      </c>
      <c r="B3" s="3"/>
      <c r="C3" s="3"/>
      <c r="D3" s="3"/>
    </row>
    <row r="4" ht="20" customHeight="1" spans="1:4" x14ac:dyDescent="0.25">
      <c r="A4" s="4" t="s">
        <v>3</v>
      </c>
      <c r="B4" s="4"/>
      <c r="C4" s="4"/>
      <c r="D4" s="4"/>
    </row>
    <row r="5" spans="1:1" x14ac:dyDescent="0.25">
      <c r="A5" t="s">
        <v>0</v>
      </c>
    </row>
    <row r="6" ht="28" customHeight="1" spans="1:4" x14ac:dyDescent="0.25">
      <c r="A6" t="s">
        <v>0</v>
      </c>
      <c r="B6" s="5" t="s">
        <v>4</v>
      </c>
      <c r="C6" s="5"/>
      <c r="D6" t="s">
        <v>0</v>
      </c>
    </row>
    <row r="7" ht="22" customHeight="1" spans="1:4" x14ac:dyDescent="0.25">
      <c r="A7" t="s">
        <v>0</v>
      </c>
      <c r="B7" s="6" t="s">
        <v>5</v>
      </c>
      <c r="C7" s="6"/>
      <c r="D7" t="s">
        <v>0</v>
      </c>
    </row>
    <row r="8" ht="22" customHeight="1" spans="1:4" x14ac:dyDescent="0.25">
      <c r="A8" t="s">
        <v>0</v>
      </c>
      <c r="B8" s="6" t="s">
        <v>6</v>
      </c>
      <c r="C8" s="6"/>
      <c r="D8" t="s">
        <v>0</v>
      </c>
    </row>
    <row r="9" ht="22" customHeight="1" spans="1:4" x14ac:dyDescent="0.25">
      <c r="A9" t="s">
        <v>0</v>
      </c>
      <c r="B9" s="6" t="s">
        <v>7</v>
      </c>
      <c r="C9" s="6"/>
      <c r="D9" t="s">
        <v>0</v>
      </c>
    </row>
    <row r="10" ht="22" customHeight="1" spans="1:4" x14ac:dyDescent="0.25">
      <c r="A10" t="s">
        <v>0</v>
      </c>
      <c r="B10" s="6" t="s">
        <v>8</v>
      </c>
      <c r="C10" s="6"/>
      <c r="D10" t="s">
        <v>0</v>
      </c>
    </row>
    <row r="11" ht="22" customHeight="1" spans="1:4" x14ac:dyDescent="0.25">
      <c r="A11" t="s">
        <v>0</v>
      </c>
      <c r="B11" s="6" t="s">
        <v>9</v>
      </c>
      <c r="C11" s="6"/>
      <c r="D11" t="s">
        <v>0</v>
      </c>
    </row>
    <row r="12" spans="1:1" x14ac:dyDescent="0.25">
      <c r="A12" t="s">
        <v>0</v>
      </c>
    </row>
    <row r="13" ht="28" customHeight="1" spans="1:4" x14ac:dyDescent="0.25">
      <c r="A13" t="s">
        <v>0</v>
      </c>
      <c r="B13" s="7" t="s">
        <v>10</v>
      </c>
      <c r="C13" s="7"/>
      <c r="D13" t="s">
        <v>0</v>
      </c>
    </row>
    <row r="14" ht="26" customHeight="1" spans="1:4" x14ac:dyDescent="0.25">
      <c r="A14" t="s">
        <v>0</v>
      </c>
      <c r="B14" s="8" t="s">
        <v>11</v>
      </c>
      <c r="C14" s="9" t="s">
        <v>12</v>
      </c>
      <c r="D14" t="s">
        <v>0</v>
      </c>
    </row>
    <row r="15" ht="26" customHeight="1" spans="1:4" x14ac:dyDescent="0.25">
      <c r="A15" t="s">
        <v>0</v>
      </c>
      <c r="B15" s="10" t="s">
        <v>13</v>
      </c>
      <c r="C15" s="11" t="s">
        <v>14</v>
      </c>
      <c r="D15" t="s">
        <v>0</v>
      </c>
    </row>
    <row r="16" ht="26" customHeight="1" spans="1:4" x14ac:dyDescent="0.25">
      <c r="A16" t="s">
        <v>0</v>
      </c>
      <c r="B16" s="12" t="s">
        <v>15</v>
      </c>
      <c r="C16" s="13" t="s">
        <v>16</v>
      </c>
      <c r="D16" t="s">
        <v>0</v>
      </c>
    </row>
    <row r="17" spans="1:1" x14ac:dyDescent="0.25">
      <c r="A17" t="s">
        <v>0</v>
      </c>
    </row>
    <row r="18" ht="28" customHeight="1" spans="1:4" x14ac:dyDescent="0.25">
      <c r="A18" t="s">
        <v>0</v>
      </c>
      <c r="B18" s="14" t="s">
        <v>17</v>
      </c>
      <c r="C18" s="14"/>
      <c r="D18" t="s">
        <v>0</v>
      </c>
    </row>
    <row r="19" ht="24" customHeight="1" spans="1:4" x14ac:dyDescent="0.25">
      <c r="A19" t="s">
        <v>0</v>
      </c>
      <c r="B19" s="15" t="s">
        <v>18</v>
      </c>
      <c r="C19" s="16" t="s">
        <v>19</v>
      </c>
      <c r="D19" t="s">
        <v>0</v>
      </c>
    </row>
    <row r="20" ht="24" customHeight="1" spans="1:4" x14ac:dyDescent="0.25">
      <c r="A20" t="s">
        <v>0</v>
      </c>
      <c r="B20" s="17" t="s">
        <v>20</v>
      </c>
      <c r="C20" s="18" t="s">
        <v>21</v>
      </c>
      <c r="D20" t="s">
        <v>0</v>
      </c>
    </row>
    <row r="21" ht="24" customHeight="1" spans="1:4" x14ac:dyDescent="0.25">
      <c r="A21" t="s">
        <v>0</v>
      </c>
      <c r="B21" s="15" t="s">
        <v>22</v>
      </c>
      <c r="C21" s="16" t="s">
        <v>23</v>
      </c>
      <c r="D21" t="s">
        <v>0</v>
      </c>
    </row>
    <row r="22" ht="24" customHeight="1" spans="1:4" x14ac:dyDescent="0.25">
      <c r="A22" t="s">
        <v>0</v>
      </c>
      <c r="B22" s="17" t="s">
        <v>24</v>
      </c>
      <c r="C22" s="18" t="s">
        <v>25</v>
      </c>
      <c r="D22" t="s">
        <v>0</v>
      </c>
    </row>
    <row r="23" ht="24" customHeight="1" spans="1:4" x14ac:dyDescent="0.25">
      <c r="A23" t="s">
        <v>0</v>
      </c>
      <c r="B23" s="15" t="s">
        <v>26</v>
      </c>
      <c r="C23" s="16" t="s">
        <v>27</v>
      </c>
      <c r="D23" t="s">
        <v>0</v>
      </c>
    </row>
    <row r="24" ht="24" customHeight="1" spans="1:4" x14ac:dyDescent="0.25">
      <c r="A24" t="s">
        <v>0</v>
      </c>
      <c r="B24" s="17" t="s">
        <v>28</v>
      </c>
      <c r="C24" s="18" t="s">
        <v>29</v>
      </c>
      <c r="D24" t="s">
        <v>0</v>
      </c>
    </row>
    <row r="25" ht="24" customHeight="1" spans="1:4" x14ac:dyDescent="0.25">
      <c r="A25" t="s">
        <v>0</v>
      </c>
      <c r="B25" s="15" t="s">
        <v>30</v>
      </c>
      <c r="C25" s="16" t="s">
        <v>31</v>
      </c>
      <c r="D25" t="s">
        <v>0</v>
      </c>
    </row>
    <row r="26" ht="24" customHeight="1" spans="1:4" x14ac:dyDescent="0.25">
      <c r="A26" t="s">
        <v>0</v>
      </c>
      <c r="B26" s="17" t="s">
        <v>32</v>
      </c>
      <c r="C26" s="18" t="s">
        <v>33</v>
      </c>
      <c r="D26" t="s">
        <v>0</v>
      </c>
    </row>
    <row r="27" spans="1:1" x14ac:dyDescent="0.25">
      <c r="A27" t="s">
        <v>0</v>
      </c>
    </row>
    <row r="28" ht="28" customHeight="1" spans="1:4" x14ac:dyDescent="0.25">
      <c r="A28" t="s">
        <v>0</v>
      </c>
      <c r="B28" s="19" t="s">
        <v>34</v>
      </c>
      <c r="C28" s="19"/>
      <c r="D28" t="s">
        <v>0</v>
      </c>
    </row>
    <row r="29" ht="22" customHeight="1" spans="1:4" x14ac:dyDescent="0.25">
      <c r="A29" t="s">
        <v>0</v>
      </c>
      <c r="B29" s="20" t="s">
        <v>35</v>
      </c>
      <c r="C29" s="20"/>
      <c r="D29" t="s">
        <v>0</v>
      </c>
    </row>
    <row r="30" ht="22" customHeight="1" spans="1:4" x14ac:dyDescent="0.25">
      <c r="A30" t="s">
        <v>0</v>
      </c>
      <c r="B30" s="20" t="s">
        <v>36</v>
      </c>
      <c r="C30" s="20"/>
      <c r="D30" t="s">
        <v>0</v>
      </c>
    </row>
    <row r="31" ht="22" customHeight="1" spans="1:4" x14ac:dyDescent="0.25">
      <c r="A31" t="s">
        <v>0</v>
      </c>
      <c r="B31" s="20" t="s">
        <v>37</v>
      </c>
      <c r="C31" s="20"/>
      <c r="D31" t="s">
        <v>0</v>
      </c>
    </row>
    <row r="32" ht="22" customHeight="1" spans="1:4" x14ac:dyDescent="0.25">
      <c r="A32" t="s">
        <v>0</v>
      </c>
      <c r="B32" s="20" t="s">
        <v>38</v>
      </c>
      <c r="C32" s="20"/>
      <c r="D32" t="s">
        <v>0</v>
      </c>
    </row>
    <row r="33" ht="22" customHeight="1" spans="1:4" x14ac:dyDescent="0.25">
      <c r="A33" t="s">
        <v>0</v>
      </c>
      <c r="B33" s="20" t="s">
        <v>39</v>
      </c>
      <c r="C33" s="20"/>
      <c r="D33" t="s">
        <v>0</v>
      </c>
    </row>
    <row r="34" spans="1:1" x14ac:dyDescent="0.25">
      <c r="A34" t="s">
        <v>0</v>
      </c>
    </row>
    <row r="35" ht="28" customHeight="1" spans="1:4" x14ac:dyDescent="0.25">
      <c r="A35" t="s">
        <v>0</v>
      </c>
      <c r="B35" s="21" t="s">
        <v>40</v>
      </c>
      <c r="C35" s="21"/>
      <c r="D35" t="s">
        <v>0</v>
      </c>
    </row>
    <row r="36" ht="22" customHeight="1" spans="1:4" x14ac:dyDescent="0.25">
      <c r="A36" t="s">
        <v>0</v>
      </c>
      <c r="B36" s="22" t="s">
        <v>41</v>
      </c>
      <c r="C36" s="22"/>
      <c r="D36" t="s">
        <v>0</v>
      </c>
    </row>
    <row r="37" ht="22" customHeight="1" spans="1:4" x14ac:dyDescent="0.25">
      <c r="A37" t="s">
        <v>0</v>
      </c>
      <c r="B37" s="22" t="s">
        <v>42</v>
      </c>
      <c r="C37" s="22"/>
      <c r="D37" t="s">
        <v>0</v>
      </c>
    </row>
    <row r="38" ht="22" customHeight="1" spans="1:4" x14ac:dyDescent="0.25">
      <c r="A38" t="s">
        <v>0</v>
      </c>
      <c r="B38" s="22" t="s">
        <v>43</v>
      </c>
      <c r="C38" s="22"/>
      <c r="D38" t="s">
        <v>0</v>
      </c>
    </row>
    <row r="39" ht="22" customHeight="1" spans="1:4" x14ac:dyDescent="0.25">
      <c r="A39" t="s">
        <v>0</v>
      </c>
      <c r="B39" s="22" t="s">
        <v>44</v>
      </c>
      <c r="C39" s="22"/>
      <c r="D39" t="s">
        <v>0</v>
      </c>
    </row>
    <row r="40" spans="1:1" x14ac:dyDescent="0.25">
      <c r="A40" t="s">
        <v>0</v>
      </c>
    </row>
    <row r="41" ht="28" customHeight="1" spans="1:4" x14ac:dyDescent="0.25">
      <c r="A41" t="s">
        <v>0</v>
      </c>
      <c r="B41" s="23" t="s">
        <v>45</v>
      </c>
      <c r="C41" s="23"/>
      <c r="D41" t="s">
        <v>0</v>
      </c>
    </row>
    <row r="42" ht="22" customHeight="1" spans="1:4" x14ac:dyDescent="0.25">
      <c r="A42" t="s">
        <v>0</v>
      </c>
      <c r="B42" s="20" t="s">
        <v>46</v>
      </c>
      <c r="C42" s="20"/>
      <c r="D42" t="s">
        <v>0</v>
      </c>
    </row>
    <row r="43" ht="22" customHeight="1" spans="1:4" x14ac:dyDescent="0.25">
      <c r="A43" t="s">
        <v>0</v>
      </c>
      <c r="B43" s="20" t="s">
        <v>47</v>
      </c>
      <c r="C43" s="20"/>
      <c r="D43" t="s">
        <v>0</v>
      </c>
    </row>
    <row r="44" ht="22" customHeight="1" spans="1:4" x14ac:dyDescent="0.25">
      <c r="A44" t="s">
        <v>0</v>
      </c>
      <c r="B44" s="20" t="s">
        <v>48</v>
      </c>
      <c r="C44" s="20"/>
      <c r="D44" t="s">
        <v>0</v>
      </c>
    </row>
    <row r="45" ht="22" customHeight="1" spans="1:4" x14ac:dyDescent="0.25">
      <c r="A45" t="s">
        <v>0</v>
      </c>
      <c r="B45" s="20" t="s">
        <v>49</v>
      </c>
      <c r="C45" s="20"/>
      <c r="D45" t="s">
        <v>0</v>
      </c>
    </row>
    <row r="46" ht="22" customHeight="1" spans="1:4" x14ac:dyDescent="0.25">
      <c r="A46" t="s">
        <v>0</v>
      </c>
      <c r="B46" s="20" t="s">
        <v>50</v>
      </c>
      <c r="C46" s="20"/>
      <c r="D46" t="s">
        <v>0</v>
      </c>
    </row>
    <row r="47" ht="22" customHeight="1" spans="1:4" x14ac:dyDescent="0.25">
      <c r="A47" t="s">
        <v>0</v>
      </c>
      <c r="B47" s="20" t="s">
        <v>51</v>
      </c>
      <c r="C47" s="20"/>
      <c r="D47" t="s">
        <v>0</v>
      </c>
    </row>
    <row r="48" spans="1:1" x14ac:dyDescent="0.25">
      <c r="A48" t="s">
        <v>0</v>
      </c>
    </row>
    <row r="49" spans="1:4" x14ac:dyDescent="0.25">
      <c r="A49" t="s">
        <v>0</v>
      </c>
      <c r="B49" s="24" t="s">
        <v>52</v>
      </c>
      <c r="C49" s="24"/>
      <c r="D49" t="s">
        <v>0</v>
      </c>
    </row>
    <row r="50" spans="1:4" x14ac:dyDescent="0.25">
      <c r="A50" t="s">
        <v>0</v>
      </c>
      <c r="B50" s="25" t="s">
        <v>53</v>
      </c>
      <c r="C50" s="25"/>
      <c r="D50" t="s">
        <v>0</v>
      </c>
    </row>
    <row r="51" spans="1:1" x14ac:dyDescent="0.25">
      <c r="A51" t="s">
        <v>0</v>
      </c>
    </row>
    <row r="52" spans="1:4" x14ac:dyDescent="0.25">
      <c r="A52" t="s">
        <v>0</v>
      </c>
      <c r="B52" s="26" t="s">
        <v>54</v>
      </c>
      <c r="C52" s="26"/>
      <c r="D52" t="s">
        <v>0</v>
      </c>
    </row>
    <row r="53" spans="1:1" x14ac:dyDescent="0.25">
      <c r="A53" t="s">
        <v>0</v>
      </c>
    </row>
    <row r="54" ht="15" customHeight="1" spans="1:4" x14ac:dyDescent="0.25">
      <c r="A54" s="1" t="s">
        <v>0</v>
      </c>
      <c r="B54" s="1"/>
      <c r="C54" s="1"/>
      <c r="D54" s="1"/>
    </row>
  </sheetData>
  <mergeCells count="34">
    <mergeCell ref="A1:D1"/>
    <mergeCell ref="A2:D2"/>
    <mergeCell ref="A3:D3"/>
    <mergeCell ref="A4:D4"/>
    <mergeCell ref="B6:C6"/>
    <mergeCell ref="B7:C7"/>
    <mergeCell ref="B8:C8"/>
    <mergeCell ref="B9:C9"/>
    <mergeCell ref="B10:C10"/>
    <mergeCell ref="B11:C11"/>
    <mergeCell ref="B13:C13"/>
    <mergeCell ref="B18:C18"/>
    <mergeCell ref="B28:C28"/>
    <mergeCell ref="B29:C29"/>
    <mergeCell ref="B30:C30"/>
    <mergeCell ref="B31:C31"/>
    <mergeCell ref="B32:C32"/>
    <mergeCell ref="B33:C33"/>
    <mergeCell ref="B35:C35"/>
    <mergeCell ref="B36:C36"/>
    <mergeCell ref="B37:C37"/>
    <mergeCell ref="B38:C38"/>
    <mergeCell ref="B39:C39"/>
    <mergeCell ref="B41:C41"/>
    <mergeCell ref="B42:C42"/>
    <mergeCell ref="B43:C43"/>
    <mergeCell ref="B44:C44"/>
    <mergeCell ref="B45:C45"/>
    <mergeCell ref="B46:C46"/>
    <mergeCell ref="B47:C47"/>
    <mergeCell ref="B49:C49"/>
    <mergeCell ref="B50:C50"/>
    <mergeCell ref="B52:C52"/>
    <mergeCell ref="A54:D5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D38"/>
  <sheetFormatPr defaultRowHeight="15" outlineLevelRow="0" outlineLevelCol="0" x14ac:dyDescent="55"/>
  <cols>
    <col min="1" max="1" width="30" customWidth="1"/>
    <col min="2" max="2" width="15" customWidth="1"/>
    <col min="3" max="3" width="10" customWidth="1"/>
    <col min="4" max="4" width="50" customWidth="1"/>
  </cols>
  <sheetData>
    <row r="1" spans="1:4" s="27" customFormat="1" x14ac:dyDescent="0.25">
      <c r="A1" s="27" t="s">
        <v>55</v>
      </c>
      <c r="B1" s="27" t="s">
        <v>56</v>
      </c>
      <c r="C1" s="27" t="s">
        <v>57</v>
      </c>
      <c r="D1" s="27" t="s">
        <v>58</v>
      </c>
    </row>
    <row r="2" spans="1:4" x14ac:dyDescent="0.25">
      <c r="A2" t="s">
        <v>59</v>
      </c>
      <c r="B2" s="28">
        <v>45</v>
      </c>
      <c r="C2" t="s">
        <v>60</v>
      </c>
      <c r="D2" t="s">
        <v>61</v>
      </c>
    </row>
    <row r="3" spans="1:4" x14ac:dyDescent="0.25">
      <c r="A3" t="s">
        <v>0</v>
      </c>
      <c r="B3" t="s">
        <v>0</v>
      </c>
      <c r="C3" t="s">
        <v>0</v>
      </c>
      <c r="D3" t="s">
        <v>0</v>
      </c>
    </row>
    <row r="4" spans="1:4" s="29" customFormat="1" x14ac:dyDescent="0.25">
      <c r="A4" s="29" t="s">
        <v>62</v>
      </c>
      <c r="B4" s="29" t="s">
        <v>0</v>
      </c>
      <c r="C4" s="29" t="s">
        <v>0</v>
      </c>
      <c r="D4" s="29" t="s">
        <v>63</v>
      </c>
    </row>
    <row r="5" spans="1:4" x14ac:dyDescent="0.25">
      <c r="A5" t="s">
        <v>64</v>
      </c>
      <c r="B5" s="28">
        <v>135</v>
      </c>
      <c r="C5" t="s">
        <v>60</v>
      </c>
      <c r="D5" t="s">
        <v>0</v>
      </c>
    </row>
    <row r="6" spans="1:4" x14ac:dyDescent="0.25">
      <c r="A6" t="s">
        <v>65</v>
      </c>
      <c r="B6" s="28">
        <v>95</v>
      </c>
      <c r="C6" t="s">
        <v>60</v>
      </c>
      <c r="D6" t="s">
        <v>0</v>
      </c>
    </row>
    <row r="7" spans="1:4" x14ac:dyDescent="0.25">
      <c r="A7" t="s">
        <v>66</v>
      </c>
      <c r="B7" s="28">
        <v>155</v>
      </c>
      <c r="C7" t="s">
        <v>60</v>
      </c>
      <c r="D7" t="s">
        <v>0</v>
      </c>
    </row>
    <row r="8" spans="1:4" x14ac:dyDescent="0.25">
      <c r="A8" t="s">
        <v>67</v>
      </c>
      <c r="B8" s="28">
        <v>65</v>
      </c>
      <c r="C8" t="s">
        <v>60</v>
      </c>
      <c r="D8" t="s">
        <v>0</v>
      </c>
    </row>
    <row r="9" spans="1:4" x14ac:dyDescent="0.25">
      <c r="A9" t="s">
        <v>68</v>
      </c>
      <c r="B9" s="28">
        <v>95</v>
      </c>
      <c r="C9" t="s">
        <v>60</v>
      </c>
      <c r="D9" t="s">
        <v>69</v>
      </c>
    </row>
    <row r="10" spans="1:4" x14ac:dyDescent="0.25">
      <c r="A10" t="s">
        <v>0</v>
      </c>
      <c r="B10" t="s">
        <v>0</v>
      </c>
      <c r="C10" t="s">
        <v>0</v>
      </c>
      <c r="D10" t="s">
        <v>0</v>
      </c>
    </row>
    <row r="11" spans="1:4" s="29" customFormat="1" x14ac:dyDescent="0.25">
      <c r="A11" s="29" t="s">
        <v>70</v>
      </c>
      <c r="B11" s="29" t="s">
        <v>0</v>
      </c>
      <c r="C11" s="29" t="s">
        <v>0</v>
      </c>
      <c r="D11" s="29" t="s">
        <v>71</v>
      </c>
    </row>
    <row r="12" spans="1:4" x14ac:dyDescent="0.25">
      <c r="A12" t="s">
        <v>72</v>
      </c>
      <c r="B12" s="28">
        <v>5</v>
      </c>
      <c r="C12" t="s">
        <v>60</v>
      </c>
      <c r="D12" t="s">
        <v>73</v>
      </c>
    </row>
    <row r="13" spans="1:4" x14ac:dyDescent="0.25">
      <c r="A13" t="s">
        <v>74</v>
      </c>
      <c r="B13" s="28">
        <v>5</v>
      </c>
      <c r="C13" t="s">
        <v>60</v>
      </c>
      <c r="D13" t="s">
        <v>75</v>
      </c>
    </row>
    <row r="14" spans="1:4" x14ac:dyDescent="0.25">
      <c r="A14" t="s">
        <v>76</v>
      </c>
      <c r="B14" s="28">
        <v>10</v>
      </c>
      <c r="C14" t="s">
        <v>60</v>
      </c>
      <c r="D14" t="s">
        <v>77</v>
      </c>
    </row>
    <row r="15" spans="1:4" x14ac:dyDescent="0.25">
      <c r="A15" t="s">
        <v>78</v>
      </c>
      <c r="B15" s="28">
        <v>5</v>
      </c>
      <c r="C15" t="s">
        <v>60</v>
      </c>
      <c r="D15" t="s">
        <v>79</v>
      </c>
    </row>
    <row r="16" spans="1:4" x14ac:dyDescent="0.25">
      <c r="A16" t="s">
        <v>80</v>
      </c>
      <c r="B16" s="28">
        <v>5</v>
      </c>
      <c r="C16" t="s">
        <v>60</v>
      </c>
      <c r="D16" t="s">
        <v>0</v>
      </c>
    </row>
    <row r="17" spans="1:4" x14ac:dyDescent="0.25">
      <c r="A17" t="s">
        <v>0</v>
      </c>
      <c r="B17" t="s">
        <v>0</v>
      </c>
      <c r="C17" t="s">
        <v>0</v>
      </c>
      <c r="D17" t="s">
        <v>0</v>
      </c>
    </row>
    <row r="18" spans="1:4" s="29" customFormat="1" x14ac:dyDescent="0.25">
      <c r="A18" s="29" t="s">
        <v>81</v>
      </c>
      <c r="B18" s="29" t="s">
        <v>0</v>
      </c>
      <c r="C18" s="29" t="s">
        <v>0</v>
      </c>
      <c r="D18" s="29" t="s">
        <v>82</v>
      </c>
    </row>
    <row r="19" spans="1:4" x14ac:dyDescent="0.25">
      <c r="A19" t="s">
        <v>0</v>
      </c>
      <c r="B19" t="s">
        <v>0</v>
      </c>
      <c r="C19" t="s">
        <v>0</v>
      </c>
      <c r="D19" t="s">
        <v>0</v>
      </c>
    </row>
    <row r="20" spans="1:4" s="29" customFormat="1" x14ac:dyDescent="0.25">
      <c r="A20" s="29" t="s">
        <v>83</v>
      </c>
      <c r="B20" s="29" t="s">
        <v>0</v>
      </c>
      <c r="C20" s="29" t="s">
        <v>0</v>
      </c>
      <c r="D20" s="29" t="s">
        <v>0</v>
      </c>
    </row>
    <row r="21" spans="1:4" x14ac:dyDescent="0.25">
      <c r="A21" t="s">
        <v>84</v>
      </c>
      <c r="B21" s="28">
        <v>3</v>
      </c>
      <c r="C21" t="s">
        <v>85</v>
      </c>
      <c r="D21" t="s">
        <v>86</v>
      </c>
    </row>
    <row r="22" spans="1:4" x14ac:dyDescent="0.25">
      <c r="A22" t="s">
        <v>87</v>
      </c>
      <c r="B22" s="28">
        <v>10</v>
      </c>
      <c r="C22" t="s">
        <v>88</v>
      </c>
      <c r="D22" t="s">
        <v>89</v>
      </c>
    </row>
    <row r="23" spans="1:4" x14ac:dyDescent="0.25">
      <c r="A23" t="s">
        <v>0</v>
      </c>
      <c r="B23" t="s">
        <v>0</v>
      </c>
      <c r="C23" t="s">
        <v>0</v>
      </c>
      <c r="D23" t="s">
        <v>0</v>
      </c>
    </row>
    <row r="24" spans="1:4" s="29" customFormat="1" x14ac:dyDescent="0.25">
      <c r="A24" s="29" t="s">
        <v>90</v>
      </c>
      <c r="B24" s="29" t="s">
        <v>0</v>
      </c>
      <c r="C24" s="29" t="s">
        <v>0</v>
      </c>
      <c r="D24" s="29" t="s">
        <v>91</v>
      </c>
    </row>
    <row r="25" spans="1:4" x14ac:dyDescent="0.25">
      <c r="A25" t="s">
        <v>92</v>
      </c>
      <c r="B25" s="28">
        <v>5</v>
      </c>
      <c r="C25" t="s">
        <v>93</v>
      </c>
      <c r="D25" t="s">
        <v>94</v>
      </c>
    </row>
    <row r="26" spans="1:4" x14ac:dyDescent="0.25">
      <c r="A26" t="s">
        <v>95</v>
      </c>
      <c r="B26" s="28">
        <v>5</v>
      </c>
      <c r="C26" t="s">
        <v>93</v>
      </c>
      <c r="D26" t="s">
        <v>94</v>
      </c>
    </row>
    <row r="27" spans="1:4" x14ac:dyDescent="0.25">
      <c r="A27" t="s">
        <v>96</v>
      </c>
      <c r="B27" s="28">
        <v>5</v>
      </c>
      <c r="C27" t="s">
        <v>93</v>
      </c>
      <c r="D27" t="s">
        <v>97</v>
      </c>
    </row>
    <row r="28" spans="1:4" x14ac:dyDescent="0.25">
      <c r="A28" t="s">
        <v>98</v>
      </c>
      <c r="B28" s="28">
        <v>5</v>
      </c>
      <c r="C28" t="s">
        <v>93</v>
      </c>
      <c r="D28" t="s">
        <v>94</v>
      </c>
    </row>
    <row r="29" spans="1:4" x14ac:dyDescent="0.25">
      <c r="A29" t="s">
        <v>99</v>
      </c>
      <c r="B29" s="28">
        <v>3</v>
      </c>
      <c r="C29" t="s">
        <v>93</v>
      </c>
      <c r="D29" t="s">
        <v>100</v>
      </c>
    </row>
    <row r="30" spans="1:4" x14ac:dyDescent="0.25">
      <c r="A30" t="s">
        <v>0</v>
      </c>
      <c r="B30" t="s">
        <v>0</v>
      </c>
      <c r="C30" t="s">
        <v>0</v>
      </c>
      <c r="D30" t="s">
        <v>0</v>
      </c>
    </row>
    <row r="31" spans="1:4" s="29" customFormat="1" x14ac:dyDescent="0.25">
      <c r="A31" s="29" t="s">
        <v>101</v>
      </c>
      <c r="B31" s="29" t="s">
        <v>0</v>
      </c>
      <c r="C31" s="29" t="s">
        <v>0</v>
      </c>
      <c r="D31" s="29" t="s">
        <v>0</v>
      </c>
    </row>
    <row r="32" spans="1:4" x14ac:dyDescent="0.25">
      <c r="A32" t="s">
        <v>102</v>
      </c>
      <c r="B32">
        <f>SUMPRODUCT(--(FREQUENCY(IF('Workout Log'!A10:A209&lt;&gt;"",'Workout Log'!A10:A209),IF('Workout Log'!A10:A209&lt;&gt;"",'Workout Log'!A10:A209))&gt;0))</f>
      </c>
      <c r="C32" t="s">
        <v>0</v>
      </c>
      <c r="D32" t="s">
        <v>103</v>
      </c>
    </row>
    <row r="33" spans="1:4" x14ac:dyDescent="0.25">
      <c r="A33" t="s">
        <v>104</v>
      </c>
      <c r="B33">
        <f>MAX(1,CEILING(B32/3,1))</f>
      </c>
      <c r="C33" t="s">
        <v>0</v>
      </c>
      <c r="D33" t="s">
        <v>105</v>
      </c>
    </row>
    <row r="34" spans="1:4" x14ac:dyDescent="0.25">
      <c r="A34" t="s">
        <v>0</v>
      </c>
      <c r="B34" t="s">
        <v>0</v>
      </c>
      <c r="C34" t="s">
        <v>0</v>
      </c>
      <c r="D34" t="s">
        <v>0</v>
      </c>
    </row>
    <row r="35" spans="1:4" s="29" customFormat="1" x14ac:dyDescent="0.25">
      <c r="A35" s="29" t="s">
        <v>106</v>
      </c>
      <c r="B35" s="29" t="s">
        <v>0</v>
      </c>
      <c r="C35" s="29" t="s">
        <v>0</v>
      </c>
      <c r="D35" s="29" t="s">
        <v>107</v>
      </c>
    </row>
    <row r="36" spans="1:4" x14ac:dyDescent="0.25">
      <c r="A36" t="s">
        <v>108</v>
      </c>
      <c r="B36" s="28">
        <v>2</v>
      </c>
      <c r="C36" t="s">
        <v>109</v>
      </c>
      <c r="D36" t="s">
        <v>110</v>
      </c>
    </row>
    <row r="37" spans="1:4" x14ac:dyDescent="0.25">
      <c r="A37" t="s">
        <v>111</v>
      </c>
      <c r="B37" s="28">
        <v>80</v>
      </c>
      <c r="C37" t="s">
        <v>88</v>
      </c>
      <c r="D37" t="s">
        <v>112</v>
      </c>
    </row>
    <row r="38" spans="1:4" x14ac:dyDescent="0.25">
      <c r="A38" t="s">
        <v>113</v>
      </c>
      <c r="B38" s="28">
        <v>5</v>
      </c>
      <c r="C38" t="s">
        <v>60</v>
      </c>
      <c r="D38" t="s">
        <v>114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933FF"/>
  </sheetPr>
  <dimension ref="A1:E21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15" customWidth="1"/>
    <col min="3" max="3" width="40" customWidth="1"/>
    <col min="4" max="4" width="3" customWidth="1"/>
    <col min="5" max="5" width="18" customWidth="1"/>
  </cols>
  <sheetData>
    <row r="1" ht="30" customHeight="1" spans="1:5" x14ac:dyDescent="0.25">
      <c r="A1" s="30" t="s">
        <v>115</v>
      </c>
      <c r="B1" s="30"/>
      <c r="C1" s="30"/>
      <c r="D1" t="s">
        <v>0</v>
      </c>
      <c r="E1" s="31" t="s">
        <v>116</v>
      </c>
    </row>
    <row r="2" ht="20" customHeight="1" spans="1:5" x14ac:dyDescent="0.25">
      <c r="A2" s="32" t="s">
        <v>117</v>
      </c>
      <c r="B2" s="32"/>
      <c r="C2" s="32"/>
      <c r="D2" t="s">
        <v>0</v>
      </c>
      <c r="E2" s="33" t="s">
        <v>118</v>
      </c>
    </row>
    <row r="3" spans="1:5" x14ac:dyDescent="0.25">
      <c r="A3" t="s">
        <v>0</v>
      </c>
      <c r="B3" t="s">
        <v>0</v>
      </c>
      <c r="C3" t="s">
        <v>0</v>
      </c>
      <c r="D3" t="s">
        <v>0</v>
      </c>
      <c r="E3" s="33" t="s">
        <v>119</v>
      </c>
    </row>
    <row r="4" spans="1:5" x14ac:dyDescent="0.25">
      <c r="A4" s="27" t="s">
        <v>120</v>
      </c>
      <c r="B4" s="27" t="s">
        <v>121</v>
      </c>
      <c r="C4" s="27" t="s">
        <v>58</v>
      </c>
      <c r="D4" t="s">
        <v>0</v>
      </c>
      <c r="E4" s="33" t="s">
        <v>122</v>
      </c>
    </row>
    <row r="5" spans="1:5" x14ac:dyDescent="0.25">
      <c r="A5" s="28" t="s">
        <v>123</v>
      </c>
      <c r="B5" s="28" t="s">
        <v>124</v>
      </c>
      <c r="C5" s="28" t="s">
        <v>125</v>
      </c>
      <c r="D5" t="s">
        <v>0</v>
      </c>
      <c r="E5" s="33" t="s">
        <v>126</v>
      </c>
    </row>
    <row r="6" spans="1:5" x14ac:dyDescent="0.25">
      <c r="A6" s="28" t="s">
        <v>127</v>
      </c>
      <c r="B6" s="28" t="s">
        <v>128</v>
      </c>
      <c r="C6" s="28" t="s">
        <v>129</v>
      </c>
      <c r="D6" t="s">
        <v>0</v>
      </c>
      <c r="E6" s="33" t="s">
        <v>130</v>
      </c>
    </row>
    <row r="7" spans="1:5" x14ac:dyDescent="0.25">
      <c r="A7" s="28" t="s">
        <v>131</v>
      </c>
      <c r="B7" s="28" t="s">
        <v>124</v>
      </c>
      <c r="C7" s="28" t="s">
        <v>132</v>
      </c>
      <c r="D7" t="s">
        <v>0</v>
      </c>
      <c r="E7" s="34">
        <f>IF(MAX('Program Phase'!B9:B13)&gt;=Settings!$B$21,"Light Squat","")</f>
      </c>
    </row>
    <row r="8" spans="1:5" x14ac:dyDescent="0.25">
      <c r="A8" s="28" t="s">
        <v>133</v>
      </c>
      <c r="B8" s="28" t="s">
        <v>134</v>
      </c>
      <c r="C8" s="28" t="s">
        <v>135</v>
      </c>
      <c r="D8" t="s">
        <v>0</v>
      </c>
      <c r="E8" s="34">
        <f>IF(Settings!$B$33&gt;=Settings!$B$36,"Chin Ups","")</f>
      </c>
    </row>
    <row r="9" spans="1:5" x14ac:dyDescent="0.25">
      <c r="A9" s="28" t="s">
        <v>136</v>
      </c>
      <c r="B9" s="28" t="s">
        <v>137</v>
      </c>
      <c r="C9" s="28" t="s">
        <v>138</v>
      </c>
      <c r="D9" t="s">
        <v>0</v>
      </c>
      <c r="E9" s="35">
        <f>IF(A5="","",A5)</f>
      </c>
    </row>
    <row r="10" spans="1:5" x14ac:dyDescent="0.25">
      <c r="A10" s="28" t="s">
        <v>0</v>
      </c>
      <c r="B10" s="28" t="s">
        <v>0</v>
      </c>
      <c r="C10" s="28" t="s">
        <v>0</v>
      </c>
      <c r="D10" t="s">
        <v>0</v>
      </c>
      <c r="E10" s="35">
        <f>IF(A6="","",A6)</f>
      </c>
    </row>
    <row r="11" spans="1:5" x14ac:dyDescent="0.25">
      <c r="A11" s="28" t="s">
        <v>0</v>
      </c>
      <c r="B11" s="28" t="s">
        <v>0</v>
      </c>
      <c r="C11" s="28" t="s">
        <v>0</v>
      </c>
      <c r="D11" t="s">
        <v>0</v>
      </c>
      <c r="E11" s="35">
        <f>IF(A7="","",A7)</f>
      </c>
    </row>
    <row r="12" spans="1:5" x14ac:dyDescent="0.25">
      <c r="A12" s="28" t="s">
        <v>0</v>
      </c>
      <c r="B12" s="28" t="s">
        <v>0</v>
      </c>
      <c r="C12" s="28" t="s">
        <v>0</v>
      </c>
      <c r="D12" t="s">
        <v>0</v>
      </c>
      <c r="E12" s="35">
        <f>IF(A8="","",A8)</f>
      </c>
    </row>
    <row r="13" spans="1:5" x14ac:dyDescent="0.25">
      <c r="A13" s="28" t="s">
        <v>0</v>
      </c>
      <c r="B13" s="28" t="s">
        <v>0</v>
      </c>
      <c r="C13" s="28" t="s">
        <v>0</v>
      </c>
      <c r="D13" t="s">
        <v>0</v>
      </c>
      <c r="E13" s="35">
        <f>IF(A9="","",A9)</f>
      </c>
    </row>
    <row r="14" spans="1:5" x14ac:dyDescent="0.25">
      <c r="A14" s="28" t="s">
        <v>0</v>
      </c>
      <c r="B14" s="28" t="s">
        <v>0</v>
      </c>
      <c r="C14" s="28" t="s">
        <v>0</v>
      </c>
      <c r="D14" t="s">
        <v>0</v>
      </c>
      <c r="E14" s="35">
        <f>IF(A10="","",A10)</f>
      </c>
    </row>
    <row r="15" spans="5:5" x14ac:dyDescent="0.25">
      <c r="E15" s="35">
        <f>IF(A11="","",A11)</f>
      </c>
    </row>
    <row r="16" spans="5:5" x14ac:dyDescent="0.25">
      <c r="E16" s="35">
        <f>IF(A12="","",A12)</f>
      </c>
    </row>
    <row r="17" spans="5:5" x14ac:dyDescent="0.25">
      <c r="E17" s="35">
        <f>IF(A13="","",A13)</f>
      </c>
    </row>
    <row r="18" spans="5:5" x14ac:dyDescent="0.25">
      <c r="E18" s="35">
        <f>IF(A14="","",A14)</f>
      </c>
    </row>
    <row r="19" spans="1:1" x14ac:dyDescent="0.25">
      <c r="A19" t="s">
        <v>0</v>
      </c>
    </row>
    <row r="20" spans="1:3" x14ac:dyDescent="0.25">
      <c r="A20" s="36" t="s">
        <v>139</v>
      </c>
      <c r="B20" s="36"/>
      <c r="C20" s="36"/>
    </row>
    <row r="21" spans="1:3" x14ac:dyDescent="0.25">
      <c r="A21" s="36" t="s">
        <v>140</v>
      </c>
      <c r="B21" s="36"/>
      <c r="C21" s="36"/>
    </row>
  </sheetData>
  <mergeCells count="4">
    <mergeCell ref="A1:C1"/>
    <mergeCell ref="A2:C2"/>
    <mergeCell ref="A20:C20"/>
    <mergeCell ref="A21:C2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600"/>
  </sheetPr>
  <dimension ref="A1:T209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8" customWidth="1"/>
    <col min="3" max="3" width="16" customWidth="1"/>
    <col min="4" max="4" width="8" customWidth="1"/>
    <col min="5" max="6" width="11" customWidth="1"/>
    <col min="7" max="11" width="6" customWidth="1"/>
    <col min="12" max="14" width="8" customWidth="1"/>
    <col min="15" max="15" width="20" customWidth="1"/>
    <col min="16" max="20" width="10" hidden="1" customWidth="1"/>
  </cols>
  <sheetData>
    <row r="1" spans="1:15" s="37" customFormat="1" x14ac:dyDescent="0.25">
      <c r="A1" s="38" t="s">
        <v>141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</row>
    <row r="2" spans="1:15" s="39" customFormat="1" x14ac:dyDescent="0.25">
      <c r="A2" s="40" t="s">
        <v>142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</row>
    <row r="3" spans="1:15" s="39" customFormat="1" x14ac:dyDescent="0.25">
      <c r="A3" s="40" t="s">
        <v>143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</row>
    <row r="4" spans="1:15" s="39" customFormat="1" x14ac:dyDescent="0.25">
      <c r="A4" s="40" t="s">
        <v>144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</row>
    <row r="5" spans="1:15" s="39" customFormat="1" x14ac:dyDescent="0.25">
      <c r="A5" s="40" t="s">
        <v>145</v>
      </c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</row>
    <row r="6" spans="1:15" s="39" customFormat="1" x14ac:dyDescent="0.25">
      <c r="A6" s="40" t="s">
        <v>146</v>
      </c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</row>
    <row r="7" spans="1:15" s="39" customFormat="1" x14ac:dyDescent="0.25">
      <c r="A7" s="40" t="s">
        <v>147</v>
      </c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</row>
    <row r="8" spans="1:20" s="27" customFormat="1" x14ac:dyDescent="0.25">
      <c r="A8" s="27" t="s">
        <v>148</v>
      </c>
      <c r="B8" s="27" t="s">
        <v>149</v>
      </c>
      <c r="C8" s="27" t="s">
        <v>150</v>
      </c>
      <c r="D8" s="27" t="s">
        <v>151</v>
      </c>
      <c r="E8" s="27" t="s">
        <v>152</v>
      </c>
      <c r="F8" s="27" t="s">
        <v>153</v>
      </c>
      <c r="G8" s="27" t="s">
        <v>154</v>
      </c>
      <c r="H8" s="27" t="s">
        <v>155</v>
      </c>
      <c r="I8" s="27" t="s">
        <v>156</v>
      </c>
      <c r="J8" s="27" t="s">
        <v>157</v>
      </c>
      <c r="K8" s="27" t="s">
        <v>158</v>
      </c>
      <c r="L8" s="27" t="s">
        <v>159</v>
      </c>
      <c r="M8" s="27" t="s">
        <v>160</v>
      </c>
      <c r="N8" s="27" t="s">
        <v>161</v>
      </c>
      <c r="O8" s="27" t="s">
        <v>58</v>
      </c>
      <c r="P8" s="27" t="s">
        <v>162</v>
      </c>
      <c r="Q8" s="27" t="s">
        <v>163</v>
      </c>
      <c r="R8" s="27" t="s">
        <v>164</v>
      </c>
      <c r="S8" s="27" t="s">
        <v>165</v>
      </c>
      <c r="T8" s="27" t="s">
        <v>166</v>
      </c>
    </row>
    <row r="9" spans="1:20" s="41" customFormat="1" x14ac:dyDescent="0.25">
      <c r="A9" s="41" t="s">
        <v>0</v>
      </c>
      <c r="B9" s="41" t="s">
        <v>167</v>
      </c>
      <c r="C9" s="41" t="s">
        <v>168</v>
      </c>
      <c r="D9" s="41" t="s">
        <v>169</v>
      </c>
      <c r="E9" s="41" t="s">
        <v>169</v>
      </c>
      <c r="F9" s="41" t="s">
        <v>170</v>
      </c>
      <c r="G9" s="41" t="s">
        <v>171</v>
      </c>
      <c r="H9" s="41" t="s">
        <v>171</v>
      </c>
      <c r="I9" s="41" t="s">
        <v>171</v>
      </c>
      <c r="J9" s="42" t="s">
        <v>172</v>
      </c>
      <c r="K9" s="42" t="s">
        <v>172</v>
      </c>
      <c r="L9" s="41" t="s">
        <v>169</v>
      </c>
      <c r="M9" s="41" t="s">
        <v>169</v>
      </c>
      <c r="N9" s="41" t="s">
        <v>169</v>
      </c>
      <c r="O9" s="41" t="s">
        <v>0</v>
      </c>
      <c r="P9" s="42" t="s">
        <v>173</v>
      </c>
      <c r="Q9" s="42" t="s">
        <v>173</v>
      </c>
      <c r="R9" s="42" t="s">
        <v>173</v>
      </c>
      <c r="S9" s="42" t="s">
        <v>173</v>
      </c>
      <c r="T9" s="42" t="s">
        <v>173</v>
      </c>
    </row>
    <row r="10" spans="1:20" x14ac:dyDescent="0.25">
      <c r="A10" s="28" t="s">
        <v>0</v>
      </c>
      <c r="B10" s="28" t="s">
        <v>0</v>
      </c>
      <c r="C10" s="28" t="s">
        <v>0</v>
      </c>
      <c r="D10" s="43">
        <f>IF(C10="","",IF(OR(C10="Squat",C10="Bench Press",C10="Overhead Press",C10="Light Squat"),"3x5",IF(C10="Deadlift","1x5",IF(C10="Power Clean","5x3","3x10"))))</f>
      </c>
      <c r="E10" s="43">
        <f>IF(C10="","",IF(NOT(OR(C10="Squat",C10="Bench Press",C10="Deadlift",C10="Overhead Press",C10="Power Clean",C10="Light Squat")),"—",IF(C10="Light Squat",0,IF(C10="Squat",Settings!$B$5,IF(C10="Bench Press",Settings!$B$6,IF(C10="Deadlift",Settings!$B$7,IF(C10="Overhead Press",Settings!$B$8,IF(C10="Power Clean",Settings!$B$9,0))))))))</f>
      </c>
      <c r="F10" s="28" t="s">
        <v>0</v>
      </c>
      <c r="G10" s="28" t="s">
        <v>0</v>
      </c>
      <c r="H10" s="28" t="s">
        <v>0</v>
      </c>
      <c r="I10" s="28" t="s">
        <v>0</v>
      </c>
      <c r="J10" s="44" t="s">
        <v>0</v>
      </c>
      <c r="K10" s="44" t="s">
        <v>0</v>
      </c>
      <c r="L10" s="43">
        <f>IF(C10="","",SUM(G10:K10))</f>
      </c>
      <c r="M10" s="43">
        <f>IF(C10="","",IF(NOT(OR(C10="Squat",C10="Bench Press",C10="Deadlift",C10="Overhead Press",C10="Power Clean",C10="Light Squat")),30,IF(OR(C10="Squat",C10="Bench Press",C10="Overhead Press",C10="Light Squat"),15,IF(C10="Deadlift",5,IF(C10="Power Clean",15,0)))))</f>
      </c>
      <c r="N10" s="43">
        <f>IF(C10="","",IF(NOT(OR(C10="Squat",C10="Bench Press",C10="Deadlift",C10="Overhead Press",C10="Power Clean",C10="Light Squat")),"—",IF(L10&gt;=M10,"OK","STALL")))</f>
      </c>
      <c r="O10" s="43" t="s">
        <v>0</v>
      </c>
      <c r="P10" s="43">
        <f>IF($C10="Squat",$F10,0)</f>
      </c>
      <c r="Q10" s="43">
        <f>IF($C10="Bench Press",$F10,0)</f>
      </c>
      <c r="R10" s="43">
        <f>IF($C10="Deadlift",$F10,0)</f>
      </c>
      <c r="S10" s="43">
        <f>IF($C10="Overhead Press",$F10,0)</f>
      </c>
      <c r="T10" s="43">
        <f>IF($C10="Power Clean",$F10,0)</f>
      </c>
    </row>
    <row r="11" spans="1:20" x14ac:dyDescent="0.25">
      <c r="A11" s="28" t="s">
        <v>0</v>
      </c>
      <c r="B11" s="28" t="s">
        <v>0</v>
      </c>
      <c r="C11" s="28" t="s">
        <v>0</v>
      </c>
      <c r="D11" s="43">
        <f>IF(C11="","",IF(OR(C11="Squat",C11="Bench Press",C11="Overhead Press",C11="Light Squat"),"3x5",IF(C11="Deadlift","1x5",IF(C11="Power Clean","5x3","3x10"))))</f>
      </c>
      <c r="E11" s="43">
        <f>IF(C11="","",IF(NOT(OR(C11="Squat",C11="Bench Press",C11="Deadlift",C11="Overhead Press",C11="Power Clean",C11="Light Squat")),"—",IF(C11="Light Squat",IF(COUNTIF(C$10:C10,"Light Squat")=0,ROUND(SUMPRODUCT(MAX((C$10:C10="Squat")*(N$10:N10="OK")*(F$10:F10)))*Settings!$B$37/100/5,0)*5,IF(SUMPRODUCT((C$10:C10="Light Squat")*(N$10:N10="OK")*1)=0,ROUND(SUMPRODUCT(MAX((C$10:C10="Squat")*(N$10:N10="OK")*(F$10:F10)))*Settings!$B$37/100/5,0)*5,SUMPRODUCT(MAX((C$10:C10="Light Squat")*(N$10:N10="OK")*(F$10:F10)))+Settings!$B$38)),IF(SUMPRODUCT((C$10:C10=C11)*(N$10:N10="OK")*1)=0,IF(C11="Squat",Settings!$B$5,IF(C11="Bench Press",Settings!$B$6,IF(C11="Deadlift",Settings!$B$7,IF(C11="Overhead Press",Settings!$B$8,IF(C11="Power Clean",Settings!$B$9,0))))),SUMPRODUCT(MAX((C$10:C10=C11)*(N$10:N10="OK")*(F$10:F10)))+IF(C11="Squat",Settings!$B$12,IF(C11="Bench Press",Settings!$B$13,IF(C11="Deadlift",Settings!$B$14,IF(C11="Overhead Press",Settings!$B$15,IF(C11="Power Clean",Settings!$B$16,0)))))))))</f>
      </c>
      <c r="F11" s="28" t="s">
        <v>0</v>
      </c>
      <c r="G11" s="28" t="s">
        <v>0</v>
      </c>
      <c r="H11" s="28" t="s">
        <v>0</v>
      </c>
      <c r="I11" s="28" t="s">
        <v>0</v>
      </c>
      <c r="J11" s="44" t="s">
        <v>0</v>
      </c>
      <c r="K11" s="44" t="s">
        <v>0</v>
      </c>
      <c r="L11" s="43">
        <f>IF(C11="","",SUM(G11:K11))</f>
      </c>
      <c r="M11" s="43">
        <f>IF(C11="","",IF(NOT(OR(C11="Squat",C11="Bench Press",C11="Deadlift",C11="Overhead Press",C11="Power Clean",C11="Light Squat")),30,IF(OR(C11="Squat",C11="Bench Press",C11="Overhead Press",C11="Light Squat"),15,IF(C11="Deadlift",5,IF(C11="Power Clean",15,0)))))</f>
      </c>
      <c r="N11" s="43">
        <f>IF(C11="","",IF(NOT(OR(C11="Squat",C11="Bench Press",C11="Deadlift",C11="Overhead Press",C11="Power Clean",C11="Light Squat")),"—",IF(L11&gt;=M11,"OK","STALL")))</f>
      </c>
      <c r="O11" s="43" t="s">
        <v>0</v>
      </c>
      <c r="P11" s="43">
        <f>IF($C11="Squat",$F11,0)</f>
      </c>
      <c r="Q11" s="43">
        <f>IF($C11="Bench Press",$F11,0)</f>
      </c>
      <c r="R11" s="43">
        <f>IF($C11="Deadlift",$F11,0)</f>
      </c>
      <c r="S11" s="43">
        <f>IF($C11="Overhead Press",$F11,0)</f>
      </c>
      <c r="T11" s="43">
        <f>IF($C11="Power Clean",$F11,0)</f>
      </c>
    </row>
    <row r="12" spans="1:20" x14ac:dyDescent="0.25">
      <c r="A12" s="28" t="s">
        <v>0</v>
      </c>
      <c r="B12" s="28" t="s">
        <v>0</v>
      </c>
      <c r="C12" s="28" t="s">
        <v>0</v>
      </c>
      <c r="D12" s="43">
        <f>IF(C12="","",IF(OR(C12="Squat",C12="Bench Press",C12="Overhead Press",C12="Light Squat"),"3x5",IF(C12="Deadlift","1x5",IF(C12="Power Clean","5x3","3x10"))))</f>
      </c>
      <c r="E12" s="43">
        <f>IF(C12="","",IF(NOT(OR(C12="Squat",C12="Bench Press",C12="Deadlift",C12="Overhead Press",C12="Power Clean",C12="Light Squat")),"—",IF(C12="Light Squat",IF(COUNTIF(C$10:C11,"Light Squat")=0,ROUND(SUMPRODUCT(MAX((C$10:C11="Squat")*(N$10:N11="OK")*(F$10:F11)))*Settings!$B$37/100/5,0)*5,IF(SUMPRODUCT((C$10:C11="Light Squat")*(N$10:N11="OK")*1)=0,ROUND(SUMPRODUCT(MAX((C$10:C11="Squat")*(N$10:N11="OK")*(F$10:F11)))*Settings!$B$37/100/5,0)*5,SUMPRODUCT(MAX((C$10:C11="Light Squat")*(N$10:N11="OK")*(F$10:F11)))+Settings!$B$38)),IF(SUMPRODUCT((C$10:C11=C12)*(N$10:N11="OK")*1)=0,IF(C12="Squat",Settings!$B$5,IF(C12="Bench Press",Settings!$B$6,IF(C12="Deadlift",Settings!$B$7,IF(C12="Overhead Press",Settings!$B$8,IF(C12="Power Clean",Settings!$B$9,0))))),SUMPRODUCT(MAX((C$10:C11=C12)*(N$10:N11="OK")*(F$10:F11)))+IF(C12="Squat",Settings!$B$12,IF(C12="Bench Press",Settings!$B$13,IF(C12="Deadlift",Settings!$B$14,IF(C12="Overhead Press",Settings!$B$15,IF(C12="Power Clean",Settings!$B$16,0)))))))))</f>
      </c>
      <c r="F12" s="28" t="s">
        <v>0</v>
      </c>
      <c r="G12" s="28" t="s">
        <v>0</v>
      </c>
      <c r="H12" s="28" t="s">
        <v>0</v>
      </c>
      <c r="I12" s="28" t="s">
        <v>0</v>
      </c>
      <c r="J12" s="44" t="s">
        <v>0</v>
      </c>
      <c r="K12" s="44" t="s">
        <v>0</v>
      </c>
      <c r="L12" s="43">
        <f>IF(C12="","",SUM(G12:K12))</f>
      </c>
      <c r="M12" s="43">
        <f>IF(C12="","",IF(NOT(OR(C12="Squat",C12="Bench Press",C12="Deadlift",C12="Overhead Press",C12="Power Clean",C12="Light Squat")),30,IF(OR(C12="Squat",C12="Bench Press",C12="Overhead Press",C12="Light Squat"),15,IF(C12="Deadlift",5,IF(C12="Power Clean",15,0)))))</f>
      </c>
      <c r="N12" s="43">
        <f>IF(C12="","",IF(NOT(OR(C12="Squat",C12="Bench Press",C12="Deadlift",C12="Overhead Press",C12="Power Clean",C12="Light Squat")),"—",IF(L12&gt;=M12,"OK","STALL")))</f>
      </c>
      <c r="O12" s="43" t="s">
        <v>0</v>
      </c>
      <c r="P12" s="43">
        <f>IF($C12="Squat",$F12,0)</f>
      </c>
      <c r="Q12" s="43">
        <f>IF($C12="Bench Press",$F12,0)</f>
      </c>
      <c r="R12" s="43">
        <f>IF($C12="Deadlift",$F12,0)</f>
      </c>
      <c r="S12" s="43">
        <f>IF($C12="Overhead Press",$F12,0)</f>
      </c>
      <c r="T12" s="43">
        <f>IF($C12="Power Clean",$F12,0)</f>
      </c>
    </row>
    <row r="13" spans="1:20" x14ac:dyDescent="0.25">
      <c r="A13" s="28" t="s">
        <v>0</v>
      </c>
      <c r="B13" s="28" t="s">
        <v>0</v>
      </c>
      <c r="C13" s="28" t="s">
        <v>0</v>
      </c>
      <c r="D13" s="43">
        <f>IF(C13="","",IF(OR(C13="Squat",C13="Bench Press",C13="Overhead Press",C13="Light Squat"),"3x5",IF(C13="Deadlift","1x5",IF(C13="Power Clean","5x3","3x10"))))</f>
      </c>
      <c r="E13" s="43">
        <f>IF(C13="","",IF(NOT(OR(C13="Squat",C13="Bench Press",C13="Deadlift",C13="Overhead Press",C13="Power Clean",C13="Light Squat")),"—",IF(C13="Light Squat",IF(COUNTIF(C$10:C12,"Light Squat")=0,ROUND(SUMPRODUCT(MAX((C$10:C12="Squat")*(N$10:N12="OK")*(F$10:F12)))*Settings!$B$37/100/5,0)*5,IF(SUMPRODUCT((C$10:C12="Light Squat")*(N$10:N12="OK")*1)=0,ROUND(SUMPRODUCT(MAX((C$10:C12="Squat")*(N$10:N12="OK")*(F$10:F12)))*Settings!$B$37/100/5,0)*5,SUMPRODUCT(MAX((C$10:C12="Light Squat")*(N$10:N12="OK")*(F$10:F12)))+Settings!$B$38)),IF(SUMPRODUCT((C$10:C12=C13)*(N$10:N12="OK")*1)=0,IF(C13="Squat",Settings!$B$5,IF(C13="Bench Press",Settings!$B$6,IF(C13="Deadlift",Settings!$B$7,IF(C13="Overhead Press",Settings!$B$8,IF(C13="Power Clean",Settings!$B$9,0))))),SUMPRODUCT(MAX((C$10:C12=C13)*(N$10:N12="OK")*(F$10:F12)))+IF(C13="Squat",Settings!$B$12,IF(C13="Bench Press",Settings!$B$13,IF(C13="Deadlift",Settings!$B$14,IF(C13="Overhead Press",Settings!$B$15,IF(C13="Power Clean",Settings!$B$16,0)))))))))</f>
      </c>
      <c r="F13" s="28" t="s">
        <v>0</v>
      </c>
      <c r="G13" s="28" t="s">
        <v>0</v>
      </c>
      <c r="H13" s="28" t="s">
        <v>0</v>
      </c>
      <c r="I13" s="28" t="s">
        <v>0</v>
      </c>
      <c r="J13" s="44" t="s">
        <v>0</v>
      </c>
      <c r="K13" s="44" t="s">
        <v>0</v>
      </c>
      <c r="L13" s="43">
        <f>IF(C13="","",SUM(G13:K13))</f>
      </c>
      <c r="M13" s="43">
        <f>IF(C13="","",IF(NOT(OR(C13="Squat",C13="Bench Press",C13="Deadlift",C13="Overhead Press",C13="Power Clean",C13="Light Squat")),30,IF(OR(C13="Squat",C13="Bench Press",C13="Overhead Press",C13="Light Squat"),15,IF(C13="Deadlift",5,IF(C13="Power Clean",15,0)))))</f>
      </c>
      <c r="N13" s="43">
        <f>IF(C13="","",IF(NOT(OR(C13="Squat",C13="Bench Press",C13="Deadlift",C13="Overhead Press",C13="Power Clean",C13="Light Squat")),"—",IF(L13&gt;=M13,"OK","STALL")))</f>
      </c>
      <c r="O13" s="43" t="s">
        <v>0</v>
      </c>
      <c r="P13" s="43">
        <f>IF($C13="Squat",$F13,0)</f>
      </c>
      <c r="Q13" s="43">
        <f>IF($C13="Bench Press",$F13,0)</f>
      </c>
      <c r="R13" s="43">
        <f>IF($C13="Deadlift",$F13,0)</f>
      </c>
      <c r="S13" s="43">
        <f>IF($C13="Overhead Press",$F13,0)</f>
      </c>
      <c r="T13" s="43">
        <f>IF($C13="Power Clean",$F13,0)</f>
      </c>
    </row>
    <row r="14" spans="1:20" x14ac:dyDescent="0.25">
      <c r="A14" s="28" t="s">
        <v>0</v>
      </c>
      <c r="B14" s="28" t="s">
        <v>0</v>
      </c>
      <c r="C14" s="28" t="s">
        <v>0</v>
      </c>
      <c r="D14" s="43">
        <f>IF(C14="","",IF(OR(C14="Squat",C14="Bench Press",C14="Overhead Press",C14="Light Squat"),"3x5",IF(C14="Deadlift","1x5",IF(C14="Power Clean","5x3","3x10"))))</f>
      </c>
      <c r="E14" s="43">
        <f>IF(C14="","",IF(NOT(OR(C14="Squat",C14="Bench Press",C14="Deadlift",C14="Overhead Press",C14="Power Clean",C14="Light Squat")),"—",IF(C14="Light Squat",IF(COUNTIF(C$10:C13,"Light Squat")=0,ROUND(SUMPRODUCT(MAX((C$10:C13="Squat")*(N$10:N13="OK")*(F$10:F13)))*Settings!$B$37/100/5,0)*5,IF(SUMPRODUCT((C$10:C13="Light Squat")*(N$10:N13="OK")*1)=0,ROUND(SUMPRODUCT(MAX((C$10:C13="Squat")*(N$10:N13="OK")*(F$10:F13)))*Settings!$B$37/100/5,0)*5,SUMPRODUCT(MAX((C$10:C13="Light Squat")*(N$10:N13="OK")*(F$10:F13)))+Settings!$B$38)),IF(SUMPRODUCT((C$10:C13=C14)*(N$10:N13="OK")*1)=0,IF(C14="Squat",Settings!$B$5,IF(C14="Bench Press",Settings!$B$6,IF(C14="Deadlift",Settings!$B$7,IF(C14="Overhead Press",Settings!$B$8,IF(C14="Power Clean",Settings!$B$9,0))))),SUMPRODUCT(MAX((C$10:C13=C14)*(N$10:N13="OK")*(F$10:F13)))+IF(C14="Squat",Settings!$B$12,IF(C14="Bench Press",Settings!$B$13,IF(C14="Deadlift",Settings!$B$14,IF(C14="Overhead Press",Settings!$B$15,IF(C14="Power Clean",Settings!$B$16,0)))))))))</f>
      </c>
      <c r="F14" s="28" t="s">
        <v>0</v>
      </c>
      <c r="G14" s="28" t="s">
        <v>0</v>
      </c>
      <c r="H14" s="28" t="s">
        <v>0</v>
      </c>
      <c r="I14" s="28" t="s">
        <v>0</v>
      </c>
      <c r="J14" s="44" t="s">
        <v>0</v>
      </c>
      <c r="K14" s="44" t="s">
        <v>0</v>
      </c>
      <c r="L14" s="43">
        <f>IF(C14="","",SUM(G14:K14))</f>
      </c>
      <c r="M14" s="43">
        <f>IF(C14="","",IF(NOT(OR(C14="Squat",C14="Bench Press",C14="Deadlift",C14="Overhead Press",C14="Power Clean",C14="Light Squat")),30,IF(OR(C14="Squat",C14="Bench Press",C14="Overhead Press",C14="Light Squat"),15,IF(C14="Deadlift",5,IF(C14="Power Clean",15,0)))))</f>
      </c>
      <c r="N14" s="43">
        <f>IF(C14="","",IF(NOT(OR(C14="Squat",C14="Bench Press",C14="Deadlift",C14="Overhead Press",C14="Power Clean",C14="Light Squat")),"—",IF(L14&gt;=M14,"OK","STALL")))</f>
      </c>
      <c r="O14" s="43" t="s">
        <v>0</v>
      </c>
      <c r="P14" s="43">
        <f>IF($C14="Squat",$F14,0)</f>
      </c>
      <c r="Q14" s="43">
        <f>IF($C14="Bench Press",$F14,0)</f>
      </c>
      <c r="R14" s="43">
        <f>IF($C14="Deadlift",$F14,0)</f>
      </c>
      <c r="S14" s="43">
        <f>IF($C14="Overhead Press",$F14,0)</f>
      </c>
      <c r="T14" s="43">
        <f>IF($C14="Power Clean",$F14,0)</f>
      </c>
    </row>
    <row r="15" spans="1:20" x14ac:dyDescent="0.25">
      <c r="A15" s="28" t="s">
        <v>0</v>
      </c>
      <c r="B15" s="28" t="s">
        <v>0</v>
      </c>
      <c r="C15" s="28" t="s">
        <v>0</v>
      </c>
      <c r="D15" s="43">
        <f>IF(C15="","",IF(OR(C15="Squat",C15="Bench Press",C15="Overhead Press",C15="Light Squat"),"3x5",IF(C15="Deadlift","1x5",IF(C15="Power Clean","5x3","3x10"))))</f>
      </c>
      <c r="E15" s="43">
        <f>IF(C15="","",IF(NOT(OR(C15="Squat",C15="Bench Press",C15="Deadlift",C15="Overhead Press",C15="Power Clean",C15="Light Squat")),"—",IF(C15="Light Squat",IF(COUNTIF(C$10:C14,"Light Squat")=0,ROUND(SUMPRODUCT(MAX((C$10:C14="Squat")*(N$10:N14="OK")*(F$10:F14)))*Settings!$B$37/100/5,0)*5,IF(SUMPRODUCT((C$10:C14="Light Squat")*(N$10:N14="OK")*1)=0,ROUND(SUMPRODUCT(MAX((C$10:C14="Squat")*(N$10:N14="OK")*(F$10:F14)))*Settings!$B$37/100/5,0)*5,SUMPRODUCT(MAX((C$10:C14="Light Squat")*(N$10:N14="OK")*(F$10:F14)))+Settings!$B$38)),IF(SUMPRODUCT((C$10:C14=C15)*(N$10:N14="OK")*1)=0,IF(C15="Squat",Settings!$B$5,IF(C15="Bench Press",Settings!$B$6,IF(C15="Deadlift",Settings!$B$7,IF(C15="Overhead Press",Settings!$B$8,IF(C15="Power Clean",Settings!$B$9,0))))),SUMPRODUCT(MAX((C$10:C14=C15)*(N$10:N14="OK")*(F$10:F14)))+IF(C15="Squat",Settings!$B$12,IF(C15="Bench Press",Settings!$B$13,IF(C15="Deadlift",Settings!$B$14,IF(C15="Overhead Press",Settings!$B$15,IF(C15="Power Clean",Settings!$B$16,0)))))))))</f>
      </c>
      <c r="F15" s="28" t="s">
        <v>0</v>
      </c>
      <c r="G15" s="28" t="s">
        <v>0</v>
      </c>
      <c r="H15" s="28" t="s">
        <v>0</v>
      </c>
      <c r="I15" s="28" t="s">
        <v>0</v>
      </c>
      <c r="J15" s="44" t="s">
        <v>0</v>
      </c>
      <c r="K15" s="44" t="s">
        <v>0</v>
      </c>
      <c r="L15" s="43">
        <f>IF(C15="","",SUM(G15:K15))</f>
      </c>
      <c r="M15" s="43">
        <f>IF(C15="","",IF(NOT(OR(C15="Squat",C15="Bench Press",C15="Deadlift",C15="Overhead Press",C15="Power Clean",C15="Light Squat")),30,IF(OR(C15="Squat",C15="Bench Press",C15="Overhead Press",C15="Light Squat"),15,IF(C15="Deadlift",5,IF(C15="Power Clean",15,0)))))</f>
      </c>
      <c r="N15" s="43">
        <f>IF(C15="","",IF(NOT(OR(C15="Squat",C15="Bench Press",C15="Deadlift",C15="Overhead Press",C15="Power Clean",C15="Light Squat")),"—",IF(L15&gt;=M15,"OK","STALL")))</f>
      </c>
      <c r="O15" s="43" t="s">
        <v>0</v>
      </c>
      <c r="P15" s="43">
        <f>IF($C15="Squat",$F15,0)</f>
      </c>
      <c r="Q15" s="43">
        <f>IF($C15="Bench Press",$F15,0)</f>
      </c>
      <c r="R15" s="43">
        <f>IF($C15="Deadlift",$F15,0)</f>
      </c>
      <c r="S15" s="43">
        <f>IF($C15="Overhead Press",$F15,0)</f>
      </c>
      <c r="T15" s="43">
        <f>IF($C15="Power Clean",$F15,0)</f>
      </c>
    </row>
    <row r="16" spans="1:20" x14ac:dyDescent="0.25">
      <c r="A16" s="28" t="s">
        <v>0</v>
      </c>
      <c r="B16" s="28" t="s">
        <v>0</v>
      </c>
      <c r="C16" s="28" t="s">
        <v>0</v>
      </c>
      <c r="D16" s="43">
        <f>IF(C16="","",IF(OR(C16="Squat",C16="Bench Press",C16="Overhead Press",C16="Light Squat"),"3x5",IF(C16="Deadlift","1x5",IF(C16="Power Clean","5x3","3x10"))))</f>
      </c>
      <c r="E16" s="43">
        <f>IF(C16="","",IF(NOT(OR(C16="Squat",C16="Bench Press",C16="Deadlift",C16="Overhead Press",C16="Power Clean",C16="Light Squat")),"—",IF(C16="Light Squat",IF(COUNTIF(C$10:C15,"Light Squat")=0,ROUND(SUMPRODUCT(MAX((C$10:C15="Squat")*(N$10:N15="OK")*(F$10:F15)))*Settings!$B$37/100/5,0)*5,IF(SUMPRODUCT((C$10:C15="Light Squat")*(N$10:N15="OK")*1)=0,ROUND(SUMPRODUCT(MAX((C$10:C15="Squat")*(N$10:N15="OK")*(F$10:F15)))*Settings!$B$37/100/5,0)*5,SUMPRODUCT(MAX((C$10:C15="Light Squat")*(N$10:N15="OK")*(F$10:F15)))+Settings!$B$38)),IF(SUMPRODUCT((C$10:C15=C16)*(N$10:N15="OK")*1)=0,IF(C16="Squat",Settings!$B$5,IF(C16="Bench Press",Settings!$B$6,IF(C16="Deadlift",Settings!$B$7,IF(C16="Overhead Press",Settings!$B$8,IF(C16="Power Clean",Settings!$B$9,0))))),SUMPRODUCT(MAX((C$10:C15=C16)*(N$10:N15="OK")*(F$10:F15)))+IF(C16="Squat",Settings!$B$12,IF(C16="Bench Press",Settings!$B$13,IF(C16="Deadlift",Settings!$B$14,IF(C16="Overhead Press",Settings!$B$15,IF(C16="Power Clean",Settings!$B$16,0)))))))))</f>
      </c>
      <c r="F16" s="28" t="s">
        <v>0</v>
      </c>
      <c r="G16" s="28" t="s">
        <v>0</v>
      </c>
      <c r="H16" s="28" t="s">
        <v>0</v>
      </c>
      <c r="I16" s="28" t="s">
        <v>0</v>
      </c>
      <c r="J16" s="44" t="s">
        <v>0</v>
      </c>
      <c r="K16" s="44" t="s">
        <v>0</v>
      </c>
      <c r="L16" s="43">
        <f>IF(C16="","",SUM(G16:K16))</f>
      </c>
      <c r="M16" s="43">
        <f>IF(C16="","",IF(NOT(OR(C16="Squat",C16="Bench Press",C16="Deadlift",C16="Overhead Press",C16="Power Clean",C16="Light Squat")),30,IF(OR(C16="Squat",C16="Bench Press",C16="Overhead Press",C16="Light Squat"),15,IF(C16="Deadlift",5,IF(C16="Power Clean",15,0)))))</f>
      </c>
      <c r="N16" s="43">
        <f>IF(C16="","",IF(NOT(OR(C16="Squat",C16="Bench Press",C16="Deadlift",C16="Overhead Press",C16="Power Clean",C16="Light Squat")),"—",IF(L16&gt;=M16,"OK","STALL")))</f>
      </c>
      <c r="O16" s="43" t="s">
        <v>0</v>
      </c>
      <c r="P16" s="43">
        <f>IF($C16="Squat",$F16,0)</f>
      </c>
      <c r="Q16" s="43">
        <f>IF($C16="Bench Press",$F16,0)</f>
      </c>
      <c r="R16" s="43">
        <f>IF($C16="Deadlift",$F16,0)</f>
      </c>
      <c r="S16" s="43">
        <f>IF($C16="Overhead Press",$F16,0)</f>
      </c>
      <c r="T16" s="43">
        <f>IF($C16="Power Clean",$F16,0)</f>
      </c>
    </row>
    <row r="17" spans="1:20" x14ac:dyDescent="0.25">
      <c r="A17" s="28" t="s">
        <v>0</v>
      </c>
      <c r="B17" s="28" t="s">
        <v>0</v>
      </c>
      <c r="C17" s="28" t="s">
        <v>0</v>
      </c>
      <c r="D17" s="43">
        <f>IF(C17="","",IF(OR(C17="Squat",C17="Bench Press",C17="Overhead Press",C17="Light Squat"),"3x5",IF(C17="Deadlift","1x5",IF(C17="Power Clean","5x3","3x10"))))</f>
      </c>
      <c r="E17" s="43">
        <f>IF(C17="","",IF(NOT(OR(C17="Squat",C17="Bench Press",C17="Deadlift",C17="Overhead Press",C17="Power Clean",C17="Light Squat")),"—",IF(C17="Light Squat",IF(COUNTIF(C$10:C16,"Light Squat")=0,ROUND(SUMPRODUCT(MAX((C$10:C16="Squat")*(N$10:N16="OK")*(F$10:F16)))*Settings!$B$37/100/5,0)*5,IF(SUMPRODUCT((C$10:C16="Light Squat")*(N$10:N16="OK")*1)=0,ROUND(SUMPRODUCT(MAX((C$10:C16="Squat")*(N$10:N16="OK")*(F$10:F16)))*Settings!$B$37/100/5,0)*5,SUMPRODUCT(MAX((C$10:C16="Light Squat")*(N$10:N16="OK")*(F$10:F16)))+Settings!$B$38)),IF(SUMPRODUCT((C$10:C16=C17)*(N$10:N16="OK")*1)=0,IF(C17="Squat",Settings!$B$5,IF(C17="Bench Press",Settings!$B$6,IF(C17="Deadlift",Settings!$B$7,IF(C17="Overhead Press",Settings!$B$8,IF(C17="Power Clean",Settings!$B$9,0))))),SUMPRODUCT(MAX((C$10:C16=C17)*(N$10:N16="OK")*(F$10:F16)))+IF(C17="Squat",Settings!$B$12,IF(C17="Bench Press",Settings!$B$13,IF(C17="Deadlift",Settings!$B$14,IF(C17="Overhead Press",Settings!$B$15,IF(C17="Power Clean",Settings!$B$16,0)))))))))</f>
      </c>
      <c r="F17" s="28" t="s">
        <v>0</v>
      </c>
      <c r="G17" s="28" t="s">
        <v>0</v>
      </c>
      <c r="H17" s="28" t="s">
        <v>0</v>
      </c>
      <c r="I17" s="28" t="s">
        <v>0</v>
      </c>
      <c r="J17" s="44" t="s">
        <v>0</v>
      </c>
      <c r="K17" s="44" t="s">
        <v>0</v>
      </c>
      <c r="L17" s="43">
        <f>IF(C17="","",SUM(G17:K17))</f>
      </c>
      <c r="M17" s="43">
        <f>IF(C17="","",IF(NOT(OR(C17="Squat",C17="Bench Press",C17="Deadlift",C17="Overhead Press",C17="Power Clean",C17="Light Squat")),30,IF(OR(C17="Squat",C17="Bench Press",C17="Overhead Press",C17="Light Squat"),15,IF(C17="Deadlift",5,IF(C17="Power Clean",15,0)))))</f>
      </c>
      <c r="N17" s="43">
        <f>IF(C17="","",IF(NOT(OR(C17="Squat",C17="Bench Press",C17="Deadlift",C17="Overhead Press",C17="Power Clean",C17="Light Squat")),"—",IF(L17&gt;=M17,"OK","STALL")))</f>
      </c>
      <c r="O17" s="43" t="s">
        <v>0</v>
      </c>
      <c r="P17" s="43">
        <f>IF($C17="Squat",$F17,0)</f>
      </c>
      <c r="Q17" s="43">
        <f>IF($C17="Bench Press",$F17,0)</f>
      </c>
      <c r="R17" s="43">
        <f>IF($C17="Deadlift",$F17,0)</f>
      </c>
      <c r="S17" s="43">
        <f>IF($C17="Overhead Press",$F17,0)</f>
      </c>
      <c r="T17" s="43">
        <f>IF($C17="Power Clean",$F17,0)</f>
      </c>
    </row>
    <row r="18" spans="1:20" x14ac:dyDescent="0.25">
      <c r="A18" s="28" t="s">
        <v>0</v>
      </c>
      <c r="B18" s="28" t="s">
        <v>0</v>
      </c>
      <c r="C18" s="28" t="s">
        <v>0</v>
      </c>
      <c r="D18" s="43">
        <f>IF(C18="","",IF(OR(C18="Squat",C18="Bench Press",C18="Overhead Press",C18="Light Squat"),"3x5",IF(C18="Deadlift","1x5",IF(C18="Power Clean","5x3","3x10"))))</f>
      </c>
      <c r="E18" s="43">
        <f>IF(C18="","",IF(NOT(OR(C18="Squat",C18="Bench Press",C18="Deadlift",C18="Overhead Press",C18="Power Clean",C18="Light Squat")),"—",IF(C18="Light Squat",IF(COUNTIF(C$10:C17,"Light Squat")=0,ROUND(SUMPRODUCT(MAX((C$10:C17="Squat")*(N$10:N17="OK")*(F$10:F17)))*Settings!$B$37/100/5,0)*5,IF(SUMPRODUCT((C$10:C17="Light Squat")*(N$10:N17="OK")*1)=0,ROUND(SUMPRODUCT(MAX((C$10:C17="Squat")*(N$10:N17="OK")*(F$10:F17)))*Settings!$B$37/100/5,0)*5,SUMPRODUCT(MAX((C$10:C17="Light Squat")*(N$10:N17="OK")*(F$10:F17)))+Settings!$B$38)),IF(SUMPRODUCT((C$10:C17=C18)*(N$10:N17="OK")*1)=0,IF(C18="Squat",Settings!$B$5,IF(C18="Bench Press",Settings!$B$6,IF(C18="Deadlift",Settings!$B$7,IF(C18="Overhead Press",Settings!$B$8,IF(C18="Power Clean",Settings!$B$9,0))))),SUMPRODUCT(MAX((C$10:C17=C18)*(N$10:N17="OK")*(F$10:F17)))+IF(C18="Squat",Settings!$B$12,IF(C18="Bench Press",Settings!$B$13,IF(C18="Deadlift",Settings!$B$14,IF(C18="Overhead Press",Settings!$B$15,IF(C18="Power Clean",Settings!$B$16,0)))))))))</f>
      </c>
      <c r="F18" s="28" t="s">
        <v>0</v>
      </c>
      <c r="G18" s="28" t="s">
        <v>0</v>
      </c>
      <c r="H18" s="28" t="s">
        <v>0</v>
      </c>
      <c r="I18" s="28" t="s">
        <v>0</v>
      </c>
      <c r="J18" s="44" t="s">
        <v>0</v>
      </c>
      <c r="K18" s="44" t="s">
        <v>0</v>
      </c>
      <c r="L18" s="43">
        <f>IF(C18="","",SUM(G18:K18))</f>
      </c>
      <c r="M18" s="43">
        <f>IF(C18="","",IF(NOT(OR(C18="Squat",C18="Bench Press",C18="Deadlift",C18="Overhead Press",C18="Power Clean",C18="Light Squat")),30,IF(OR(C18="Squat",C18="Bench Press",C18="Overhead Press",C18="Light Squat"),15,IF(C18="Deadlift",5,IF(C18="Power Clean",15,0)))))</f>
      </c>
      <c r="N18" s="43">
        <f>IF(C18="","",IF(NOT(OR(C18="Squat",C18="Bench Press",C18="Deadlift",C18="Overhead Press",C18="Power Clean",C18="Light Squat")),"—",IF(L18&gt;=M18,"OK","STALL")))</f>
      </c>
      <c r="O18" s="43" t="s">
        <v>0</v>
      </c>
      <c r="P18" s="43">
        <f>IF($C18="Squat",$F18,0)</f>
      </c>
      <c r="Q18" s="43">
        <f>IF($C18="Bench Press",$F18,0)</f>
      </c>
      <c r="R18" s="43">
        <f>IF($C18="Deadlift",$F18,0)</f>
      </c>
      <c r="S18" s="43">
        <f>IF($C18="Overhead Press",$F18,0)</f>
      </c>
      <c r="T18" s="43">
        <f>IF($C18="Power Clean",$F18,0)</f>
      </c>
    </row>
    <row r="19" spans="1:20" x14ac:dyDescent="0.25">
      <c r="A19" s="28" t="s">
        <v>0</v>
      </c>
      <c r="B19" s="28" t="s">
        <v>0</v>
      </c>
      <c r="C19" s="28" t="s">
        <v>0</v>
      </c>
      <c r="D19" s="43">
        <f>IF(C19="","",IF(OR(C19="Squat",C19="Bench Press",C19="Overhead Press",C19="Light Squat"),"3x5",IF(C19="Deadlift","1x5",IF(C19="Power Clean","5x3","3x10"))))</f>
      </c>
      <c r="E19" s="43">
        <f>IF(C19="","",IF(NOT(OR(C19="Squat",C19="Bench Press",C19="Deadlift",C19="Overhead Press",C19="Power Clean",C19="Light Squat")),"—",IF(C19="Light Squat",IF(COUNTIF(C$10:C18,"Light Squat")=0,ROUND(SUMPRODUCT(MAX((C$10:C18="Squat")*(N$10:N18="OK")*(F$10:F18)))*Settings!$B$37/100/5,0)*5,IF(SUMPRODUCT((C$10:C18="Light Squat")*(N$10:N18="OK")*1)=0,ROUND(SUMPRODUCT(MAX((C$10:C18="Squat")*(N$10:N18="OK")*(F$10:F18)))*Settings!$B$37/100/5,0)*5,SUMPRODUCT(MAX((C$10:C18="Light Squat")*(N$10:N18="OK")*(F$10:F18)))+Settings!$B$38)),IF(SUMPRODUCT((C$10:C18=C19)*(N$10:N18="OK")*1)=0,IF(C19="Squat",Settings!$B$5,IF(C19="Bench Press",Settings!$B$6,IF(C19="Deadlift",Settings!$B$7,IF(C19="Overhead Press",Settings!$B$8,IF(C19="Power Clean",Settings!$B$9,0))))),SUMPRODUCT(MAX((C$10:C18=C19)*(N$10:N18="OK")*(F$10:F18)))+IF(C19="Squat",Settings!$B$12,IF(C19="Bench Press",Settings!$B$13,IF(C19="Deadlift",Settings!$B$14,IF(C19="Overhead Press",Settings!$B$15,IF(C19="Power Clean",Settings!$B$16,0)))))))))</f>
      </c>
      <c r="F19" s="28" t="s">
        <v>0</v>
      </c>
      <c r="G19" s="28" t="s">
        <v>0</v>
      </c>
      <c r="H19" s="28" t="s">
        <v>0</v>
      </c>
      <c r="I19" s="28" t="s">
        <v>0</v>
      </c>
      <c r="J19" s="44" t="s">
        <v>0</v>
      </c>
      <c r="K19" s="44" t="s">
        <v>0</v>
      </c>
      <c r="L19" s="43">
        <f>IF(C19="","",SUM(G19:K19))</f>
      </c>
      <c r="M19" s="43">
        <f>IF(C19="","",IF(NOT(OR(C19="Squat",C19="Bench Press",C19="Deadlift",C19="Overhead Press",C19="Power Clean",C19="Light Squat")),30,IF(OR(C19="Squat",C19="Bench Press",C19="Overhead Press",C19="Light Squat"),15,IF(C19="Deadlift",5,IF(C19="Power Clean",15,0)))))</f>
      </c>
      <c r="N19" s="43">
        <f>IF(C19="","",IF(NOT(OR(C19="Squat",C19="Bench Press",C19="Deadlift",C19="Overhead Press",C19="Power Clean",C19="Light Squat")),"—",IF(L19&gt;=M19,"OK","STALL")))</f>
      </c>
      <c r="O19" s="43" t="s">
        <v>0</v>
      </c>
      <c r="P19" s="43">
        <f>IF($C19="Squat",$F19,0)</f>
      </c>
      <c r="Q19" s="43">
        <f>IF($C19="Bench Press",$F19,0)</f>
      </c>
      <c r="R19" s="43">
        <f>IF($C19="Deadlift",$F19,0)</f>
      </c>
      <c r="S19" s="43">
        <f>IF($C19="Overhead Press",$F19,0)</f>
      </c>
      <c r="T19" s="43">
        <f>IF($C19="Power Clean",$F19,0)</f>
      </c>
    </row>
    <row r="20" spans="1:20" x14ac:dyDescent="0.25">
      <c r="A20" s="28" t="s">
        <v>0</v>
      </c>
      <c r="B20" s="28" t="s">
        <v>0</v>
      </c>
      <c r="C20" s="28" t="s">
        <v>0</v>
      </c>
      <c r="D20" s="43">
        <f>IF(C20="","",IF(OR(C20="Squat",C20="Bench Press",C20="Overhead Press",C20="Light Squat"),"3x5",IF(C20="Deadlift","1x5",IF(C20="Power Clean","5x3","3x10"))))</f>
      </c>
      <c r="E20" s="43">
        <f>IF(C20="","",IF(NOT(OR(C20="Squat",C20="Bench Press",C20="Deadlift",C20="Overhead Press",C20="Power Clean",C20="Light Squat")),"—",IF(C20="Light Squat",IF(COUNTIF(C$10:C19,"Light Squat")=0,ROUND(SUMPRODUCT(MAX((C$10:C19="Squat")*(N$10:N19="OK")*(F$10:F19)))*Settings!$B$37/100/5,0)*5,IF(SUMPRODUCT((C$10:C19="Light Squat")*(N$10:N19="OK")*1)=0,ROUND(SUMPRODUCT(MAX((C$10:C19="Squat")*(N$10:N19="OK")*(F$10:F19)))*Settings!$B$37/100/5,0)*5,SUMPRODUCT(MAX((C$10:C19="Light Squat")*(N$10:N19="OK")*(F$10:F19)))+Settings!$B$38)),IF(SUMPRODUCT((C$10:C19=C20)*(N$10:N19="OK")*1)=0,IF(C20="Squat",Settings!$B$5,IF(C20="Bench Press",Settings!$B$6,IF(C20="Deadlift",Settings!$B$7,IF(C20="Overhead Press",Settings!$B$8,IF(C20="Power Clean",Settings!$B$9,0))))),SUMPRODUCT(MAX((C$10:C19=C20)*(N$10:N19="OK")*(F$10:F19)))+IF(C20="Squat",Settings!$B$12,IF(C20="Bench Press",Settings!$B$13,IF(C20="Deadlift",Settings!$B$14,IF(C20="Overhead Press",Settings!$B$15,IF(C20="Power Clean",Settings!$B$16,0)))))))))</f>
      </c>
      <c r="F20" s="28" t="s">
        <v>0</v>
      </c>
      <c r="G20" s="28" t="s">
        <v>0</v>
      </c>
      <c r="H20" s="28" t="s">
        <v>0</v>
      </c>
      <c r="I20" s="28" t="s">
        <v>0</v>
      </c>
      <c r="J20" s="44" t="s">
        <v>0</v>
      </c>
      <c r="K20" s="44" t="s">
        <v>0</v>
      </c>
      <c r="L20" s="43">
        <f>IF(C20="","",SUM(G20:K20))</f>
      </c>
      <c r="M20" s="43">
        <f>IF(C20="","",IF(NOT(OR(C20="Squat",C20="Bench Press",C20="Deadlift",C20="Overhead Press",C20="Power Clean",C20="Light Squat")),30,IF(OR(C20="Squat",C20="Bench Press",C20="Overhead Press",C20="Light Squat"),15,IF(C20="Deadlift",5,IF(C20="Power Clean",15,0)))))</f>
      </c>
      <c r="N20" s="43">
        <f>IF(C20="","",IF(NOT(OR(C20="Squat",C20="Bench Press",C20="Deadlift",C20="Overhead Press",C20="Power Clean",C20="Light Squat")),"—",IF(L20&gt;=M20,"OK","STALL")))</f>
      </c>
      <c r="O20" s="43" t="s">
        <v>0</v>
      </c>
      <c r="P20" s="43">
        <f>IF($C20="Squat",$F20,0)</f>
      </c>
      <c r="Q20" s="43">
        <f>IF($C20="Bench Press",$F20,0)</f>
      </c>
      <c r="R20" s="43">
        <f>IF($C20="Deadlift",$F20,0)</f>
      </c>
      <c r="S20" s="43">
        <f>IF($C20="Overhead Press",$F20,0)</f>
      </c>
      <c r="T20" s="43">
        <f>IF($C20="Power Clean",$F20,0)</f>
      </c>
    </row>
    <row r="21" spans="1:20" x14ac:dyDescent="0.25">
      <c r="A21" s="28" t="s">
        <v>0</v>
      </c>
      <c r="B21" s="28" t="s">
        <v>0</v>
      </c>
      <c r="C21" s="28" t="s">
        <v>0</v>
      </c>
      <c r="D21" s="43">
        <f>IF(C21="","",IF(OR(C21="Squat",C21="Bench Press",C21="Overhead Press",C21="Light Squat"),"3x5",IF(C21="Deadlift","1x5",IF(C21="Power Clean","5x3","3x10"))))</f>
      </c>
      <c r="E21" s="43">
        <f>IF(C21="","",IF(NOT(OR(C21="Squat",C21="Bench Press",C21="Deadlift",C21="Overhead Press",C21="Power Clean",C21="Light Squat")),"—",IF(C21="Light Squat",IF(COUNTIF(C$10:C20,"Light Squat")=0,ROUND(SUMPRODUCT(MAX((C$10:C20="Squat")*(N$10:N20="OK")*(F$10:F20)))*Settings!$B$37/100/5,0)*5,IF(SUMPRODUCT((C$10:C20="Light Squat")*(N$10:N20="OK")*1)=0,ROUND(SUMPRODUCT(MAX((C$10:C20="Squat")*(N$10:N20="OK")*(F$10:F20)))*Settings!$B$37/100/5,0)*5,SUMPRODUCT(MAX((C$10:C20="Light Squat")*(N$10:N20="OK")*(F$10:F20)))+Settings!$B$38)),IF(SUMPRODUCT((C$10:C20=C21)*(N$10:N20="OK")*1)=0,IF(C21="Squat",Settings!$B$5,IF(C21="Bench Press",Settings!$B$6,IF(C21="Deadlift",Settings!$B$7,IF(C21="Overhead Press",Settings!$B$8,IF(C21="Power Clean",Settings!$B$9,0))))),SUMPRODUCT(MAX((C$10:C20=C21)*(N$10:N20="OK")*(F$10:F20)))+IF(C21="Squat",Settings!$B$12,IF(C21="Bench Press",Settings!$B$13,IF(C21="Deadlift",Settings!$B$14,IF(C21="Overhead Press",Settings!$B$15,IF(C21="Power Clean",Settings!$B$16,0)))))))))</f>
      </c>
      <c r="F21" s="28" t="s">
        <v>0</v>
      </c>
      <c r="G21" s="28" t="s">
        <v>0</v>
      </c>
      <c r="H21" s="28" t="s">
        <v>0</v>
      </c>
      <c r="I21" s="28" t="s">
        <v>0</v>
      </c>
      <c r="J21" s="44" t="s">
        <v>0</v>
      </c>
      <c r="K21" s="44" t="s">
        <v>0</v>
      </c>
      <c r="L21" s="43">
        <f>IF(C21="","",SUM(G21:K21))</f>
      </c>
      <c r="M21" s="43">
        <f>IF(C21="","",IF(NOT(OR(C21="Squat",C21="Bench Press",C21="Deadlift",C21="Overhead Press",C21="Power Clean",C21="Light Squat")),30,IF(OR(C21="Squat",C21="Bench Press",C21="Overhead Press",C21="Light Squat"),15,IF(C21="Deadlift",5,IF(C21="Power Clean",15,0)))))</f>
      </c>
      <c r="N21" s="43">
        <f>IF(C21="","",IF(NOT(OR(C21="Squat",C21="Bench Press",C21="Deadlift",C21="Overhead Press",C21="Power Clean",C21="Light Squat")),"—",IF(L21&gt;=M21,"OK","STALL")))</f>
      </c>
      <c r="O21" s="43" t="s">
        <v>0</v>
      </c>
      <c r="P21" s="43">
        <f>IF($C21="Squat",$F21,0)</f>
      </c>
      <c r="Q21" s="43">
        <f>IF($C21="Bench Press",$F21,0)</f>
      </c>
      <c r="R21" s="43">
        <f>IF($C21="Deadlift",$F21,0)</f>
      </c>
      <c r="S21" s="43">
        <f>IF($C21="Overhead Press",$F21,0)</f>
      </c>
      <c r="T21" s="43">
        <f>IF($C21="Power Clean",$F21,0)</f>
      </c>
    </row>
    <row r="22" spans="1:20" x14ac:dyDescent="0.25">
      <c r="A22" s="28" t="s">
        <v>0</v>
      </c>
      <c r="B22" s="28" t="s">
        <v>0</v>
      </c>
      <c r="C22" s="28" t="s">
        <v>0</v>
      </c>
      <c r="D22" s="43">
        <f>IF(C22="","",IF(OR(C22="Squat",C22="Bench Press",C22="Overhead Press",C22="Light Squat"),"3x5",IF(C22="Deadlift","1x5",IF(C22="Power Clean","5x3","3x10"))))</f>
      </c>
      <c r="E22" s="43">
        <f>IF(C22="","",IF(NOT(OR(C22="Squat",C22="Bench Press",C22="Deadlift",C22="Overhead Press",C22="Power Clean",C22="Light Squat")),"—",IF(C22="Light Squat",IF(COUNTIF(C$10:C21,"Light Squat")=0,ROUND(SUMPRODUCT(MAX((C$10:C21="Squat")*(N$10:N21="OK")*(F$10:F21)))*Settings!$B$37/100/5,0)*5,IF(SUMPRODUCT((C$10:C21="Light Squat")*(N$10:N21="OK")*1)=0,ROUND(SUMPRODUCT(MAX((C$10:C21="Squat")*(N$10:N21="OK")*(F$10:F21)))*Settings!$B$37/100/5,0)*5,SUMPRODUCT(MAX((C$10:C21="Light Squat")*(N$10:N21="OK")*(F$10:F21)))+Settings!$B$38)),IF(SUMPRODUCT((C$10:C21=C22)*(N$10:N21="OK")*1)=0,IF(C22="Squat",Settings!$B$5,IF(C22="Bench Press",Settings!$B$6,IF(C22="Deadlift",Settings!$B$7,IF(C22="Overhead Press",Settings!$B$8,IF(C22="Power Clean",Settings!$B$9,0))))),SUMPRODUCT(MAX((C$10:C21=C22)*(N$10:N21="OK")*(F$10:F21)))+IF(C22="Squat",Settings!$B$12,IF(C22="Bench Press",Settings!$B$13,IF(C22="Deadlift",Settings!$B$14,IF(C22="Overhead Press",Settings!$B$15,IF(C22="Power Clean",Settings!$B$16,0)))))))))</f>
      </c>
      <c r="F22" s="28" t="s">
        <v>0</v>
      </c>
      <c r="G22" s="28" t="s">
        <v>0</v>
      </c>
      <c r="H22" s="28" t="s">
        <v>0</v>
      </c>
      <c r="I22" s="28" t="s">
        <v>0</v>
      </c>
      <c r="J22" s="44" t="s">
        <v>0</v>
      </c>
      <c r="K22" s="44" t="s">
        <v>0</v>
      </c>
      <c r="L22" s="43">
        <f>IF(C22="","",SUM(G22:K22))</f>
      </c>
      <c r="M22" s="43">
        <f>IF(C22="","",IF(NOT(OR(C22="Squat",C22="Bench Press",C22="Deadlift",C22="Overhead Press",C22="Power Clean",C22="Light Squat")),30,IF(OR(C22="Squat",C22="Bench Press",C22="Overhead Press",C22="Light Squat"),15,IF(C22="Deadlift",5,IF(C22="Power Clean",15,0)))))</f>
      </c>
      <c r="N22" s="43">
        <f>IF(C22="","",IF(NOT(OR(C22="Squat",C22="Bench Press",C22="Deadlift",C22="Overhead Press",C22="Power Clean",C22="Light Squat")),"—",IF(L22&gt;=M22,"OK","STALL")))</f>
      </c>
      <c r="O22" s="43" t="s">
        <v>0</v>
      </c>
      <c r="P22" s="43">
        <f>IF($C22="Squat",$F22,0)</f>
      </c>
      <c r="Q22" s="43">
        <f>IF($C22="Bench Press",$F22,0)</f>
      </c>
      <c r="R22" s="43">
        <f>IF($C22="Deadlift",$F22,0)</f>
      </c>
      <c r="S22" s="43">
        <f>IF($C22="Overhead Press",$F22,0)</f>
      </c>
      <c r="T22" s="43">
        <f>IF($C22="Power Clean",$F22,0)</f>
      </c>
    </row>
    <row r="23" spans="1:20" x14ac:dyDescent="0.25">
      <c r="A23" s="28" t="s">
        <v>0</v>
      </c>
      <c r="B23" s="28" t="s">
        <v>0</v>
      </c>
      <c r="C23" s="28" t="s">
        <v>0</v>
      </c>
      <c r="D23" s="43">
        <f>IF(C23="","",IF(OR(C23="Squat",C23="Bench Press",C23="Overhead Press",C23="Light Squat"),"3x5",IF(C23="Deadlift","1x5",IF(C23="Power Clean","5x3","3x10"))))</f>
      </c>
      <c r="E23" s="43">
        <f>IF(C23="","",IF(NOT(OR(C23="Squat",C23="Bench Press",C23="Deadlift",C23="Overhead Press",C23="Power Clean",C23="Light Squat")),"—",IF(C23="Light Squat",IF(COUNTIF(C$10:C22,"Light Squat")=0,ROUND(SUMPRODUCT(MAX((C$10:C22="Squat")*(N$10:N22="OK")*(F$10:F22)))*Settings!$B$37/100/5,0)*5,IF(SUMPRODUCT((C$10:C22="Light Squat")*(N$10:N22="OK")*1)=0,ROUND(SUMPRODUCT(MAX((C$10:C22="Squat")*(N$10:N22="OK")*(F$10:F22)))*Settings!$B$37/100/5,0)*5,SUMPRODUCT(MAX((C$10:C22="Light Squat")*(N$10:N22="OK")*(F$10:F22)))+Settings!$B$38)),IF(SUMPRODUCT((C$10:C22=C23)*(N$10:N22="OK")*1)=0,IF(C23="Squat",Settings!$B$5,IF(C23="Bench Press",Settings!$B$6,IF(C23="Deadlift",Settings!$B$7,IF(C23="Overhead Press",Settings!$B$8,IF(C23="Power Clean",Settings!$B$9,0))))),SUMPRODUCT(MAX((C$10:C22=C23)*(N$10:N22="OK")*(F$10:F22)))+IF(C23="Squat",Settings!$B$12,IF(C23="Bench Press",Settings!$B$13,IF(C23="Deadlift",Settings!$B$14,IF(C23="Overhead Press",Settings!$B$15,IF(C23="Power Clean",Settings!$B$16,0)))))))))</f>
      </c>
      <c r="F23" s="28" t="s">
        <v>0</v>
      </c>
      <c r="G23" s="28" t="s">
        <v>0</v>
      </c>
      <c r="H23" s="28" t="s">
        <v>0</v>
      </c>
      <c r="I23" s="28" t="s">
        <v>0</v>
      </c>
      <c r="J23" s="44" t="s">
        <v>0</v>
      </c>
      <c r="K23" s="44" t="s">
        <v>0</v>
      </c>
      <c r="L23" s="43">
        <f>IF(C23="","",SUM(G23:K23))</f>
      </c>
      <c r="M23" s="43">
        <f>IF(C23="","",IF(NOT(OR(C23="Squat",C23="Bench Press",C23="Deadlift",C23="Overhead Press",C23="Power Clean",C23="Light Squat")),30,IF(OR(C23="Squat",C23="Bench Press",C23="Overhead Press",C23="Light Squat"),15,IF(C23="Deadlift",5,IF(C23="Power Clean",15,0)))))</f>
      </c>
      <c r="N23" s="43">
        <f>IF(C23="","",IF(NOT(OR(C23="Squat",C23="Bench Press",C23="Deadlift",C23="Overhead Press",C23="Power Clean",C23="Light Squat")),"—",IF(L23&gt;=M23,"OK","STALL")))</f>
      </c>
      <c r="O23" s="43" t="s">
        <v>0</v>
      </c>
      <c r="P23" s="43">
        <f>IF($C23="Squat",$F23,0)</f>
      </c>
      <c r="Q23" s="43">
        <f>IF($C23="Bench Press",$F23,0)</f>
      </c>
      <c r="R23" s="43">
        <f>IF($C23="Deadlift",$F23,0)</f>
      </c>
      <c r="S23" s="43">
        <f>IF($C23="Overhead Press",$F23,0)</f>
      </c>
      <c r="T23" s="43">
        <f>IF($C23="Power Clean",$F23,0)</f>
      </c>
    </row>
    <row r="24" spans="1:20" x14ac:dyDescent="0.25">
      <c r="A24" s="28" t="s">
        <v>0</v>
      </c>
      <c r="B24" s="28" t="s">
        <v>0</v>
      </c>
      <c r="C24" s="28" t="s">
        <v>0</v>
      </c>
      <c r="D24" s="43">
        <f>IF(C24="","",IF(OR(C24="Squat",C24="Bench Press",C24="Overhead Press",C24="Light Squat"),"3x5",IF(C24="Deadlift","1x5",IF(C24="Power Clean","5x3","3x10"))))</f>
      </c>
      <c r="E24" s="43">
        <f>IF(C24="","",IF(NOT(OR(C24="Squat",C24="Bench Press",C24="Deadlift",C24="Overhead Press",C24="Power Clean",C24="Light Squat")),"—",IF(C24="Light Squat",IF(COUNTIF(C$10:C23,"Light Squat")=0,ROUND(SUMPRODUCT(MAX((C$10:C23="Squat")*(N$10:N23="OK")*(F$10:F23)))*Settings!$B$37/100/5,0)*5,IF(SUMPRODUCT((C$10:C23="Light Squat")*(N$10:N23="OK")*1)=0,ROUND(SUMPRODUCT(MAX((C$10:C23="Squat")*(N$10:N23="OK")*(F$10:F23)))*Settings!$B$37/100/5,0)*5,SUMPRODUCT(MAX((C$10:C23="Light Squat")*(N$10:N23="OK")*(F$10:F23)))+Settings!$B$38)),IF(SUMPRODUCT((C$10:C23=C24)*(N$10:N23="OK")*1)=0,IF(C24="Squat",Settings!$B$5,IF(C24="Bench Press",Settings!$B$6,IF(C24="Deadlift",Settings!$B$7,IF(C24="Overhead Press",Settings!$B$8,IF(C24="Power Clean",Settings!$B$9,0))))),SUMPRODUCT(MAX((C$10:C23=C24)*(N$10:N23="OK")*(F$10:F23)))+IF(C24="Squat",Settings!$B$12,IF(C24="Bench Press",Settings!$B$13,IF(C24="Deadlift",Settings!$B$14,IF(C24="Overhead Press",Settings!$B$15,IF(C24="Power Clean",Settings!$B$16,0)))))))))</f>
      </c>
      <c r="F24" s="28" t="s">
        <v>0</v>
      </c>
      <c r="G24" s="28" t="s">
        <v>0</v>
      </c>
      <c r="H24" s="28" t="s">
        <v>0</v>
      </c>
      <c r="I24" s="28" t="s">
        <v>0</v>
      </c>
      <c r="J24" s="44" t="s">
        <v>0</v>
      </c>
      <c r="K24" s="44" t="s">
        <v>0</v>
      </c>
      <c r="L24" s="43">
        <f>IF(C24="","",SUM(G24:K24))</f>
      </c>
      <c r="M24" s="43">
        <f>IF(C24="","",IF(NOT(OR(C24="Squat",C24="Bench Press",C24="Deadlift",C24="Overhead Press",C24="Power Clean",C24="Light Squat")),30,IF(OR(C24="Squat",C24="Bench Press",C24="Overhead Press",C24="Light Squat"),15,IF(C24="Deadlift",5,IF(C24="Power Clean",15,0)))))</f>
      </c>
      <c r="N24" s="43">
        <f>IF(C24="","",IF(NOT(OR(C24="Squat",C24="Bench Press",C24="Deadlift",C24="Overhead Press",C24="Power Clean",C24="Light Squat")),"—",IF(L24&gt;=M24,"OK","STALL")))</f>
      </c>
      <c r="O24" s="43" t="s">
        <v>0</v>
      </c>
      <c r="P24" s="43">
        <f>IF($C24="Squat",$F24,0)</f>
      </c>
      <c r="Q24" s="43">
        <f>IF($C24="Bench Press",$F24,0)</f>
      </c>
      <c r="R24" s="43">
        <f>IF($C24="Deadlift",$F24,0)</f>
      </c>
      <c r="S24" s="43">
        <f>IF($C24="Overhead Press",$F24,0)</f>
      </c>
      <c r="T24" s="43">
        <f>IF($C24="Power Clean",$F24,0)</f>
      </c>
    </row>
    <row r="25" spans="1:20" x14ac:dyDescent="0.25">
      <c r="A25" s="28" t="s">
        <v>0</v>
      </c>
      <c r="B25" s="28" t="s">
        <v>0</v>
      </c>
      <c r="C25" s="28" t="s">
        <v>0</v>
      </c>
      <c r="D25" s="43">
        <f>IF(C25="","",IF(OR(C25="Squat",C25="Bench Press",C25="Overhead Press",C25="Light Squat"),"3x5",IF(C25="Deadlift","1x5",IF(C25="Power Clean","5x3","3x10"))))</f>
      </c>
      <c r="E25" s="43">
        <f>IF(C25="","",IF(NOT(OR(C25="Squat",C25="Bench Press",C25="Deadlift",C25="Overhead Press",C25="Power Clean",C25="Light Squat")),"—",IF(C25="Light Squat",IF(COUNTIF(C$10:C24,"Light Squat")=0,ROUND(SUMPRODUCT(MAX((C$10:C24="Squat")*(N$10:N24="OK")*(F$10:F24)))*Settings!$B$37/100/5,0)*5,IF(SUMPRODUCT((C$10:C24="Light Squat")*(N$10:N24="OK")*1)=0,ROUND(SUMPRODUCT(MAX((C$10:C24="Squat")*(N$10:N24="OK")*(F$10:F24)))*Settings!$B$37/100/5,0)*5,SUMPRODUCT(MAX((C$10:C24="Light Squat")*(N$10:N24="OK")*(F$10:F24)))+Settings!$B$38)),IF(SUMPRODUCT((C$10:C24=C25)*(N$10:N24="OK")*1)=0,IF(C25="Squat",Settings!$B$5,IF(C25="Bench Press",Settings!$B$6,IF(C25="Deadlift",Settings!$B$7,IF(C25="Overhead Press",Settings!$B$8,IF(C25="Power Clean",Settings!$B$9,0))))),SUMPRODUCT(MAX((C$10:C24=C25)*(N$10:N24="OK")*(F$10:F24)))+IF(C25="Squat",Settings!$B$12,IF(C25="Bench Press",Settings!$B$13,IF(C25="Deadlift",Settings!$B$14,IF(C25="Overhead Press",Settings!$B$15,IF(C25="Power Clean",Settings!$B$16,0)))))))))</f>
      </c>
      <c r="F25" s="28" t="s">
        <v>0</v>
      </c>
      <c r="G25" s="28" t="s">
        <v>0</v>
      </c>
      <c r="H25" s="28" t="s">
        <v>0</v>
      </c>
      <c r="I25" s="28" t="s">
        <v>0</v>
      </c>
      <c r="J25" s="44" t="s">
        <v>0</v>
      </c>
      <c r="K25" s="44" t="s">
        <v>0</v>
      </c>
      <c r="L25" s="43">
        <f>IF(C25="","",SUM(G25:K25))</f>
      </c>
      <c r="M25" s="43">
        <f>IF(C25="","",IF(NOT(OR(C25="Squat",C25="Bench Press",C25="Deadlift",C25="Overhead Press",C25="Power Clean",C25="Light Squat")),30,IF(OR(C25="Squat",C25="Bench Press",C25="Overhead Press",C25="Light Squat"),15,IF(C25="Deadlift",5,IF(C25="Power Clean",15,0)))))</f>
      </c>
      <c r="N25" s="43">
        <f>IF(C25="","",IF(NOT(OR(C25="Squat",C25="Bench Press",C25="Deadlift",C25="Overhead Press",C25="Power Clean",C25="Light Squat")),"—",IF(L25&gt;=M25,"OK","STALL")))</f>
      </c>
      <c r="O25" s="43" t="s">
        <v>0</v>
      </c>
      <c r="P25" s="43">
        <f>IF($C25="Squat",$F25,0)</f>
      </c>
      <c r="Q25" s="43">
        <f>IF($C25="Bench Press",$F25,0)</f>
      </c>
      <c r="R25" s="43">
        <f>IF($C25="Deadlift",$F25,0)</f>
      </c>
      <c r="S25" s="43">
        <f>IF($C25="Overhead Press",$F25,0)</f>
      </c>
      <c r="T25" s="43">
        <f>IF($C25="Power Clean",$F25,0)</f>
      </c>
    </row>
    <row r="26" spans="1:20" x14ac:dyDescent="0.25">
      <c r="A26" s="28" t="s">
        <v>0</v>
      </c>
      <c r="B26" s="28" t="s">
        <v>0</v>
      </c>
      <c r="C26" s="28" t="s">
        <v>0</v>
      </c>
      <c r="D26" s="43">
        <f>IF(C26="","",IF(OR(C26="Squat",C26="Bench Press",C26="Overhead Press",C26="Light Squat"),"3x5",IF(C26="Deadlift","1x5",IF(C26="Power Clean","5x3","3x10"))))</f>
      </c>
      <c r="E26" s="43">
        <f>IF(C26="","",IF(NOT(OR(C26="Squat",C26="Bench Press",C26="Deadlift",C26="Overhead Press",C26="Power Clean",C26="Light Squat")),"—",IF(C26="Light Squat",IF(COUNTIF(C$10:C25,"Light Squat")=0,ROUND(SUMPRODUCT(MAX((C$10:C25="Squat")*(N$10:N25="OK")*(F$10:F25)))*Settings!$B$37/100/5,0)*5,IF(SUMPRODUCT((C$10:C25="Light Squat")*(N$10:N25="OK")*1)=0,ROUND(SUMPRODUCT(MAX((C$10:C25="Squat")*(N$10:N25="OK")*(F$10:F25)))*Settings!$B$37/100/5,0)*5,SUMPRODUCT(MAX((C$10:C25="Light Squat")*(N$10:N25="OK")*(F$10:F25)))+Settings!$B$38)),IF(SUMPRODUCT((C$10:C25=C26)*(N$10:N25="OK")*1)=0,IF(C26="Squat",Settings!$B$5,IF(C26="Bench Press",Settings!$B$6,IF(C26="Deadlift",Settings!$B$7,IF(C26="Overhead Press",Settings!$B$8,IF(C26="Power Clean",Settings!$B$9,0))))),SUMPRODUCT(MAX((C$10:C25=C26)*(N$10:N25="OK")*(F$10:F25)))+IF(C26="Squat",Settings!$B$12,IF(C26="Bench Press",Settings!$B$13,IF(C26="Deadlift",Settings!$B$14,IF(C26="Overhead Press",Settings!$B$15,IF(C26="Power Clean",Settings!$B$16,0)))))))))</f>
      </c>
      <c r="F26" s="28" t="s">
        <v>0</v>
      </c>
      <c r="G26" s="28" t="s">
        <v>0</v>
      </c>
      <c r="H26" s="28" t="s">
        <v>0</v>
      </c>
      <c r="I26" s="28" t="s">
        <v>0</v>
      </c>
      <c r="J26" s="44" t="s">
        <v>0</v>
      </c>
      <c r="K26" s="44" t="s">
        <v>0</v>
      </c>
      <c r="L26" s="43">
        <f>IF(C26="","",SUM(G26:K26))</f>
      </c>
      <c r="M26" s="43">
        <f>IF(C26="","",IF(NOT(OR(C26="Squat",C26="Bench Press",C26="Deadlift",C26="Overhead Press",C26="Power Clean",C26="Light Squat")),30,IF(OR(C26="Squat",C26="Bench Press",C26="Overhead Press",C26="Light Squat"),15,IF(C26="Deadlift",5,IF(C26="Power Clean",15,0)))))</f>
      </c>
      <c r="N26" s="43">
        <f>IF(C26="","",IF(NOT(OR(C26="Squat",C26="Bench Press",C26="Deadlift",C26="Overhead Press",C26="Power Clean",C26="Light Squat")),"—",IF(L26&gt;=M26,"OK","STALL")))</f>
      </c>
      <c r="O26" s="43" t="s">
        <v>0</v>
      </c>
      <c r="P26" s="43">
        <f>IF($C26="Squat",$F26,0)</f>
      </c>
      <c r="Q26" s="43">
        <f>IF($C26="Bench Press",$F26,0)</f>
      </c>
      <c r="R26" s="43">
        <f>IF($C26="Deadlift",$F26,0)</f>
      </c>
      <c r="S26" s="43">
        <f>IF($C26="Overhead Press",$F26,0)</f>
      </c>
      <c r="T26" s="43">
        <f>IF($C26="Power Clean",$F26,0)</f>
      </c>
    </row>
    <row r="27" spans="1:20" x14ac:dyDescent="0.25">
      <c r="A27" s="28" t="s">
        <v>0</v>
      </c>
      <c r="B27" s="28" t="s">
        <v>0</v>
      </c>
      <c r="C27" s="28" t="s">
        <v>0</v>
      </c>
      <c r="D27" s="43">
        <f>IF(C27="","",IF(OR(C27="Squat",C27="Bench Press",C27="Overhead Press",C27="Light Squat"),"3x5",IF(C27="Deadlift","1x5",IF(C27="Power Clean","5x3","3x10"))))</f>
      </c>
      <c r="E27" s="43">
        <f>IF(C27="","",IF(NOT(OR(C27="Squat",C27="Bench Press",C27="Deadlift",C27="Overhead Press",C27="Power Clean",C27="Light Squat")),"—",IF(C27="Light Squat",IF(COUNTIF(C$10:C26,"Light Squat")=0,ROUND(SUMPRODUCT(MAX((C$10:C26="Squat")*(N$10:N26="OK")*(F$10:F26)))*Settings!$B$37/100/5,0)*5,IF(SUMPRODUCT((C$10:C26="Light Squat")*(N$10:N26="OK")*1)=0,ROUND(SUMPRODUCT(MAX((C$10:C26="Squat")*(N$10:N26="OK")*(F$10:F26)))*Settings!$B$37/100/5,0)*5,SUMPRODUCT(MAX((C$10:C26="Light Squat")*(N$10:N26="OK")*(F$10:F26)))+Settings!$B$38)),IF(SUMPRODUCT((C$10:C26=C27)*(N$10:N26="OK")*1)=0,IF(C27="Squat",Settings!$B$5,IF(C27="Bench Press",Settings!$B$6,IF(C27="Deadlift",Settings!$B$7,IF(C27="Overhead Press",Settings!$B$8,IF(C27="Power Clean",Settings!$B$9,0))))),SUMPRODUCT(MAX((C$10:C26=C27)*(N$10:N26="OK")*(F$10:F26)))+IF(C27="Squat",Settings!$B$12,IF(C27="Bench Press",Settings!$B$13,IF(C27="Deadlift",Settings!$B$14,IF(C27="Overhead Press",Settings!$B$15,IF(C27="Power Clean",Settings!$B$16,0)))))))))</f>
      </c>
      <c r="F27" s="28" t="s">
        <v>0</v>
      </c>
      <c r="G27" s="28" t="s">
        <v>0</v>
      </c>
      <c r="H27" s="28" t="s">
        <v>0</v>
      </c>
      <c r="I27" s="28" t="s">
        <v>0</v>
      </c>
      <c r="J27" s="44" t="s">
        <v>0</v>
      </c>
      <c r="K27" s="44" t="s">
        <v>0</v>
      </c>
      <c r="L27" s="43">
        <f>IF(C27="","",SUM(G27:K27))</f>
      </c>
      <c r="M27" s="43">
        <f>IF(C27="","",IF(NOT(OR(C27="Squat",C27="Bench Press",C27="Deadlift",C27="Overhead Press",C27="Power Clean",C27="Light Squat")),30,IF(OR(C27="Squat",C27="Bench Press",C27="Overhead Press",C27="Light Squat"),15,IF(C27="Deadlift",5,IF(C27="Power Clean",15,0)))))</f>
      </c>
      <c r="N27" s="43">
        <f>IF(C27="","",IF(NOT(OR(C27="Squat",C27="Bench Press",C27="Deadlift",C27="Overhead Press",C27="Power Clean",C27="Light Squat")),"—",IF(L27&gt;=M27,"OK","STALL")))</f>
      </c>
      <c r="O27" s="43" t="s">
        <v>0</v>
      </c>
      <c r="P27" s="43">
        <f>IF($C27="Squat",$F27,0)</f>
      </c>
      <c r="Q27" s="43">
        <f>IF($C27="Bench Press",$F27,0)</f>
      </c>
      <c r="R27" s="43">
        <f>IF($C27="Deadlift",$F27,0)</f>
      </c>
      <c r="S27" s="43">
        <f>IF($C27="Overhead Press",$F27,0)</f>
      </c>
      <c r="T27" s="43">
        <f>IF($C27="Power Clean",$F27,0)</f>
      </c>
    </row>
    <row r="28" spans="1:20" x14ac:dyDescent="0.25">
      <c r="A28" s="28" t="s">
        <v>0</v>
      </c>
      <c r="B28" s="28" t="s">
        <v>0</v>
      </c>
      <c r="C28" s="28" t="s">
        <v>0</v>
      </c>
      <c r="D28" s="43">
        <f>IF(C28="","",IF(OR(C28="Squat",C28="Bench Press",C28="Overhead Press",C28="Light Squat"),"3x5",IF(C28="Deadlift","1x5",IF(C28="Power Clean","5x3","3x10"))))</f>
      </c>
      <c r="E28" s="43">
        <f>IF(C28="","",IF(NOT(OR(C28="Squat",C28="Bench Press",C28="Deadlift",C28="Overhead Press",C28="Power Clean",C28="Light Squat")),"—",IF(C28="Light Squat",IF(COUNTIF(C$10:C27,"Light Squat")=0,ROUND(SUMPRODUCT(MAX((C$10:C27="Squat")*(N$10:N27="OK")*(F$10:F27)))*Settings!$B$37/100/5,0)*5,IF(SUMPRODUCT((C$10:C27="Light Squat")*(N$10:N27="OK")*1)=0,ROUND(SUMPRODUCT(MAX((C$10:C27="Squat")*(N$10:N27="OK")*(F$10:F27)))*Settings!$B$37/100/5,0)*5,SUMPRODUCT(MAX((C$10:C27="Light Squat")*(N$10:N27="OK")*(F$10:F27)))+Settings!$B$38)),IF(SUMPRODUCT((C$10:C27=C28)*(N$10:N27="OK")*1)=0,IF(C28="Squat",Settings!$B$5,IF(C28="Bench Press",Settings!$B$6,IF(C28="Deadlift",Settings!$B$7,IF(C28="Overhead Press",Settings!$B$8,IF(C28="Power Clean",Settings!$B$9,0))))),SUMPRODUCT(MAX((C$10:C27=C28)*(N$10:N27="OK")*(F$10:F27)))+IF(C28="Squat",Settings!$B$12,IF(C28="Bench Press",Settings!$B$13,IF(C28="Deadlift",Settings!$B$14,IF(C28="Overhead Press",Settings!$B$15,IF(C28="Power Clean",Settings!$B$16,0)))))))))</f>
      </c>
      <c r="F28" s="28" t="s">
        <v>0</v>
      </c>
      <c r="G28" s="28" t="s">
        <v>0</v>
      </c>
      <c r="H28" s="28" t="s">
        <v>0</v>
      </c>
      <c r="I28" s="28" t="s">
        <v>0</v>
      </c>
      <c r="J28" s="44" t="s">
        <v>0</v>
      </c>
      <c r="K28" s="44" t="s">
        <v>0</v>
      </c>
      <c r="L28" s="43">
        <f>IF(C28="","",SUM(G28:K28))</f>
      </c>
      <c r="M28" s="43">
        <f>IF(C28="","",IF(NOT(OR(C28="Squat",C28="Bench Press",C28="Deadlift",C28="Overhead Press",C28="Power Clean",C28="Light Squat")),30,IF(OR(C28="Squat",C28="Bench Press",C28="Overhead Press",C28="Light Squat"),15,IF(C28="Deadlift",5,IF(C28="Power Clean",15,0)))))</f>
      </c>
      <c r="N28" s="43">
        <f>IF(C28="","",IF(NOT(OR(C28="Squat",C28="Bench Press",C28="Deadlift",C28="Overhead Press",C28="Power Clean",C28="Light Squat")),"—",IF(L28&gt;=M28,"OK","STALL")))</f>
      </c>
      <c r="O28" s="43" t="s">
        <v>0</v>
      </c>
      <c r="P28" s="43">
        <f>IF($C28="Squat",$F28,0)</f>
      </c>
      <c r="Q28" s="43">
        <f>IF($C28="Bench Press",$F28,0)</f>
      </c>
      <c r="R28" s="43">
        <f>IF($C28="Deadlift",$F28,0)</f>
      </c>
      <c r="S28" s="43">
        <f>IF($C28="Overhead Press",$F28,0)</f>
      </c>
      <c r="T28" s="43">
        <f>IF($C28="Power Clean",$F28,0)</f>
      </c>
    </row>
    <row r="29" spans="1:20" x14ac:dyDescent="0.25">
      <c r="A29" s="28" t="s">
        <v>0</v>
      </c>
      <c r="B29" s="28" t="s">
        <v>0</v>
      </c>
      <c r="C29" s="28" t="s">
        <v>0</v>
      </c>
      <c r="D29" s="43">
        <f>IF(C29="","",IF(OR(C29="Squat",C29="Bench Press",C29="Overhead Press",C29="Light Squat"),"3x5",IF(C29="Deadlift","1x5",IF(C29="Power Clean","5x3","3x10"))))</f>
      </c>
      <c r="E29" s="43">
        <f>IF(C29="","",IF(NOT(OR(C29="Squat",C29="Bench Press",C29="Deadlift",C29="Overhead Press",C29="Power Clean",C29="Light Squat")),"—",IF(C29="Light Squat",IF(COUNTIF(C$10:C28,"Light Squat")=0,ROUND(SUMPRODUCT(MAX((C$10:C28="Squat")*(N$10:N28="OK")*(F$10:F28)))*Settings!$B$37/100/5,0)*5,IF(SUMPRODUCT((C$10:C28="Light Squat")*(N$10:N28="OK")*1)=0,ROUND(SUMPRODUCT(MAX((C$10:C28="Squat")*(N$10:N28="OK")*(F$10:F28)))*Settings!$B$37/100/5,0)*5,SUMPRODUCT(MAX((C$10:C28="Light Squat")*(N$10:N28="OK")*(F$10:F28)))+Settings!$B$38)),IF(SUMPRODUCT((C$10:C28=C29)*(N$10:N28="OK")*1)=0,IF(C29="Squat",Settings!$B$5,IF(C29="Bench Press",Settings!$B$6,IF(C29="Deadlift",Settings!$B$7,IF(C29="Overhead Press",Settings!$B$8,IF(C29="Power Clean",Settings!$B$9,0))))),SUMPRODUCT(MAX((C$10:C28=C29)*(N$10:N28="OK")*(F$10:F28)))+IF(C29="Squat",Settings!$B$12,IF(C29="Bench Press",Settings!$B$13,IF(C29="Deadlift",Settings!$B$14,IF(C29="Overhead Press",Settings!$B$15,IF(C29="Power Clean",Settings!$B$16,0)))))))))</f>
      </c>
      <c r="F29" s="28" t="s">
        <v>0</v>
      </c>
      <c r="G29" s="28" t="s">
        <v>0</v>
      </c>
      <c r="H29" s="28" t="s">
        <v>0</v>
      </c>
      <c r="I29" s="28" t="s">
        <v>0</v>
      </c>
      <c r="J29" s="44" t="s">
        <v>0</v>
      </c>
      <c r="K29" s="44" t="s">
        <v>0</v>
      </c>
      <c r="L29" s="43">
        <f>IF(C29="","",SUM(G29:K29))</f>
      </c>
      <c r="M29" s="43">
        <f>IF(C29="","",IF(NOT(OR(C29="Squat",C29="Bench Press",C29="Deadlift",C29="Overhead Press",C29="Power Clean",C29="Light Squat")),30,IF(OR(C29="Squat",C29="Bench Press",C29="Overhead Press",C29="Light Squat"),15,IF(C29="Deadlift",5,IF(C29="Power Clean",15,0)))))</f>
      </c>
      <c r="N29" s="43">
        <f>IF(C29="","",IF(NOT(OR(C29="Squat",C29="Bench Press",C29="Deadlift",C29="Overhead Press",C29="Power Clean",C29="Light Squat")),"—",IF(L29&gt;=M29,"OK","STALL")))</f>
      </c>
      <c r="O29" s="43" t="s">
        <v>0</v>
      </c>
      <c r="P29" s="43">
        <f>IF($C29="Squat",$F29,0)</f>
      </c>
      <c r="Q29" s="43">
        <f>IF($C29="Bench Press",$F29,0)</f>
      </c>
      <c r="R29" s="43">
        <f>IF($C29="Deadlift",$F29,0)</f>
      </c>
      <c r="S29" s="43">
        <f>IF($C29="Overhead Press",$F29,0)</f>
      </c>
      <c r="T29" s="43">
        <f>IF($C29="Power Clean",$F29,0)</f>
      </c>
    </row>
    <row r="30" spans="1:20" x14ac:dyDescent="0.25">
      <c r="A30" s="28" t="s">
        <v>0</v>
      </c>
      <c r="B30" s="28" t="s">
        <v>0</v>
      </c>
      <c r="C30" s="28" t="s">
        <v>0</v>
      </c>
      <c r="D30" s="43">
        <f>IF(C30="","",IF(OR(C30="Squat",C30="Bench Press",C30="Overhead Press",C30="Light Squat"),"3x5",IF(C30="Deadlift","1x5",IF(C30="Power Clean","5x3","3x10"))))</f>
      </c>
      <c r="E30" s="43">
        <f>IF(C30="","",IF(NOT(OR(C30="Squat",C30="Bench Press",C30="Deadlift",C30="Overhead Press",C30="Power Clean",C30="Light Squat")),"—",IF(C30="Light Squat",IF(COUNTIF(C$10:C29,"Light Squat")=0,ROUND(SUMPRODUCT(MAX((C$10:C29="Squat")*(N$10:N29="OK")*(F$10:F29)))*Settings!$B$37/100/5,0)*5,IF(SUMPRODUCT((C$10:C29="Light Squat")*(N$10:N29="OK")*1)=0,ROUND(SUMPRODUCT(MAX((C$10:C29="Squat")*(N$10:N29="OK")*(F$10:F29)))*Settings!$B$37/100/5,0)*5,SUMPRODUCT(MAX((C$10:C29="Light Squat")*(N$10:N29="OK")*(F$10:F29)))+Settings!$B$38)),IF(SUMPRODUCT((C$10:C29=C30)*(N$10:N29="OK")*1)=0,IF(C30="Squat",Settings!$B$5,IF(C30="Bench Press",Settings!$B$6,IF(C30="Deadlift",Settings!$B$7,IF(C30="Overhead Press",Settings!$B$8,IF(C30="Power Clean",Settings!$B$9,0))))),SUMPRODUCT(MAX((C$10:C29=C30)*(N$10:N29="OK")*(F$10:F29)))+IF(C30="Squat",Settings!$B$12,IF(C30="Bench Press",Settings!$B$13,IF(C30="Deadlift",Settings!$B$14,IF(C30="Overhead Press",Settings!$B$15,IF(C30="Power Clean",Settings!$B$16,0)))))))))</f>
      </c>
      <c r="F30" s="28" t="s">
        <v>0</v>
      </c>
      <c r="G30" s="28" t="s">
        <v>0</v>
      </c>
      <c r="H30" s="28" t="s">
        <v>0</v>
      </c>
      <c r="I30" s="28" t="s">
        <v>0</v>
      </c>
      <c r="J30" s="44" t="s">
        <v>0</v>
      </c>
      <c r="K30" s="44" t="s">
        <v>0</v>
      </c>
      <c r="L30" s="43">
        <f>IF(C30="","",SUM(G30:K30))</f>
      </c>
      <c r="M30" s="43">
        <f>IF(C30="","",IF(NOT(OR(C30="Squat",C30="Bench Press",C30="Deadlift",C30="Overhead Press",C30="Power Clean",C30="Light Squat")),30,IF(OR(C30="Squat",C30="Bench Press",C30="Overhead Press",C30="Light Squat"),15,IF(C30="Deadlift",5,IF(C30="Power Clean",15,0)))))</f>
      </c>
      <c r="N30" s="43">
        <f>IF(C30="","",IF(NOT(OR(C30="Squat",C30="Bench Press",C30="Deadlift",C30="Overhead Press",C30="Power Clean",C30="Light Squat")),"—",IF(L30&gt;=M30,"OK","STALL")))</f>
      </c>
      <c r="O30" s="43" t="s">
        <v>0</v>
      </c>
      <c r="P30" s="43">
        <f>IF($C30="Squat",$F30,0)</f>
      </c>
      <c r="Q30" s="43">
        <f>IF($C30="Bench Press",$F30,0)</f>
      </c>
      <c r="R30" s="43">
        <f>IF($C30="Deadlift",$F30,0)</f>
      </c>
      <c r="S30" s="43">
        <f>IF($C30="Overhead Press",$F30,0)</f>
      </c>
      <c r="T30" s="43">
        <f>IF($C30="Power Clean",$F30,0)</f>
      </c>
    </row>
    <row r="31" spans="1:20" x14ac:dyDescent="0.25">
      <c r="A31" s="28" t="s">
        <v>0</v>
      </c>
      <c r="B31" s="28" t="s">
        <v>0</v>
      </c>
      <c r="C31" s="28" t="s">
        <v>0</v>
      </c>
      <c r="D31" s="43">
        <f>IF(C31="","",IF(OR(C31="Squat",C31="Bench Press",C31="Overhead Press",C31="Light Squat"),"3x5",IF(C31="Deadlift","1x5",IF(C31="Power Clean","5x3","3x10"))))</f>
      </c>
      <c r="E31" s="43">
        <f>IF(C31="","",IF(NOT(OR(C31="Squat",C31="Bench Press",C31="Deadlift",C31="Overhead Press",C31="Power Clean",C31="Light Squat")),"—",IF(C31="Light Squat",IF(COUNTIF(C$10:C30,"Light Squat")=0,ROUND(SUMPRODUCT(MAX((C$10:C30="Squat")*(N$10:N30="OK")*(F$10:F30)))*Settings!$B$37/100/5,0)*5,IF(SUMPRODUCT((C$10:C30="Light Squat")*(N$10:N30="OK")*1)=0,ROUND(SUMPRODUCT(MAX((C$10:C30="Squat")*(N$10:N30="OK")*(F$10:F30)))*Settings!$B$37/100/5,0)*5,SUMPRODUCT(MAX((C$10:C30="Light Squat")*(N$10:N30="OK")*(F$10:F30)))+Settings!$B$38)),IF(SUMPRODUCT((C$10:C30=C31)*(N$10:N30="OK")*1)=0,IF(C31="Squat",Settings!$B$5,IF(C31="Bench Press",Settings!$B$6,IF(C31="Deadlift",Settings!$B$7,IF(C31="Overhead Press",Settings!$B$8,IF(C31="Power Clean",Settings!$B$9,0))))),SUMPRODUCT(MAX((C$10:C30=C31)*(N$10:N30="OK")*(F$10:F30)))+IF(C31="Squat",Settings!$B$12,IF(C31="Bench Press",Settings!$B$13,IF(C31="Deadlift",Settings!$B$14,IF(C31="Overhead Press",Settings!$B$15,IF(C31="Power Clean",Settings!$B$16,0)))))))))</f>
      </c>
      <c r="F31" s="28" t="s">
        <v>0</v>
      </c>
      <c r="G31" s="28" t="s">
        <v>0</v>
      </c>
      <c r="H31" s="28" t="s">
        <v>0</v>
      </c>
      <c r="I31" s="28" t="s">
        <v>0</v>
      </c>
      <c r="J31" s="44" t="s">
        <v>0</v>
      </c>
      <c r="K31" s="44" t="s">
        <v>0</v>
      </c>
      <c r="L31" s="43">
        <f>IF(C31="","",SUM(G31:K31))</f>
      </c>
      <c r="M31" s="43">
        <f>IF(C31="","",IF(NOT(OR(C31="Squat",C31="Bench Press",C31="Deadlift",C31="Overhead Press",C31="Power Clean",C31="Light Squat")),30,IF(OR(C31="Squat",C31="Bench Press",C31="Overhead Press",C31="Light Squat"),15,IF(C31="Deadlift",5,IF(C31="Power Clean",15,0)))))</f>
      </c>
      <c r="N31" s="43">
        <f>IF(C31="","",IF(NOT(OR(C31="Squat",C31="Bench Press",C31="Deadlift",C31="Overhead Press",C31="Power Clean",C31="Light Squat")),"—",IF(L31&gt;=M31,"OK","STALL")))</f>
      </c>
      <c r="O31" s="43" t="s">
        <v>0</v>
      </c>
      <c r="P31" s="43">
        <f>IF($C31="Squat",$F31,0)</f>
      </c>
      <c r="Q31" s="43">
        <f>IF($C31="Bench Press",$F31,0)</f>
      </c>
      <c r="R31" s="43">
        <f>IF($C31="Deadlift",$F31,0)</f>
      </c>
      <c r="S31" s="43">
        <f>IF($C31="Overhead Press",$F31,0)</f>
      </c>
      <c r="T31" s="43">
        <f>IF($C31="Power Clean",$F31,0)</f>
      </c>
    </row>
    <row r="32" spans="1:20" x14ac:dyDescent="0.25">
      <c r="A32" s="28" t="s">
        <v>0</v>
      </c>
      <c r="B32" s="28" t="s">
        <v>0</v>
      </c>
      <c r="C32" s="28" t="s">
        <v>0</v>
      </c>
      <c r="D32" s="43">
        <f>IF(C32="","",IF(OR(C32="Squat",C32="Bench Press",C32="Overhead Press",C32="Light Squat"),"3x5",IF(C32="Deadlift","1x5",IF(C32="Power Clean","5x3","3x10"))))</f>
      </c>
      <c r="E32" s="43">
        <f>IF(C32="","",IF(NOT(OR(C32="Squat",C32="Bench Press",C32="Deadlift",C32="Overhead Press",C32="Power Clean",C32="Light Squat")),"—",IF(C32="Light Squat",IF(COUNTIF(C$10:C31,"Light Squat")=0,ROUND(SUMPRODUCT(MAX((C$10:C31="Squat")*(N$10:N31="OK")*(F$10:F31)))*Settings!$B$37/100/5,0)*5,IF(SUMPRODUCT((C$10:C31="Light Squat")*(N$10:N31="OK")*1)=0,ROUND(SUMPRODUCT(MAX((C$10:C31="Squat")*(N$10:N31="OK")*(F$10:F31)))*Settings!$B$37/100/5,0)*5,SUMPRODUCT(MAX((C$10:C31="Light Squat")*(N$10:N31="OK")*(F$10:F31)))+Settings!$B$38)),IF(SUMPRODUCT((C$10:C31=C32)*(N$10:N31="OK")*1)=0,IF(C32="Squat",Settings!$B$5,IF(C32="Bench Press",Settings!$B$6,IF(C32="Deadlift",Settings!$B$7,IF(C32="Overhead Press",Settings!$B$8,IF(C32="Power Clean",Settings!$B$9,0))))),SUMPRODUCT(MAX((C$10:C31=C32)*(N$10:N31="OK")*(F$10:F31)))+IF(C32="Squat",Settings!$B$12,IF(C32="Bench Press",Settings!$B$13,IF(C32="Deadlift",Settings!$B$14,IF(C32="Overhead Press",Settings!$B$15,IF(C32="Power Clean",Settings!$B$16,0)))))))))</f>
      </c>
      <c r="F32" s="28" t="s">
        <v>0</v>
      </c>
      <c r="G32" s="28" t="s">
        <v>0</v>
      </c>
      <c r="H32" s="28" t="s">
        <v>0</v>
      </c>
      <c r="I32" s="28" t="s">
        <v>0</v>
      </c>
      <c r="J32" s="44" t="s">
        <v>0</v>
      </c>
      <c r="K32" s="44" t="s">
        <v>0</v>
      </c>
      <c r="L32" s="43">
        <f>IF(C32="","",SUM(G32:K32))</f>
      </c>
      <c r="M32" s="43">
        <f>IF(C32="","",IF(NOT(OR(C32="Squat",C32="Bench Press",C32="Deadlift",C32="Overhead Press",C32="Power Clean",C32="Light Squat")),30,IF(OR(C32="Squat",C32="Bench Press",C32="Overhead Press",C32="Light Squat"),15,IF(C32="Deadlift",5,IF(C32="Power Clean",15,0)))))</f>
      </c>
      <c r="N32" s="43">
        <f>IF(C32="","",IF(NOT(OR(C32="Squat",C32="Bench Press",C32="Deadlift",C32="Overhead Press",C32="Power Clean",C32="Light Squat")),"—",IF(L32&gt;=M32,"OK","STALL")))</f>
      </c>
      <c r="O32" s="43" t="s">
        <v>0</v>
      </c>
      <c r="P32" s="43">
        <f>IF($C32="Squat",$F32,0)</f>
      </c>
      <c r="Q32" s="43">
        <f>IF($C32="Bench Press",$F32,0)</f>
      </c>
      <c r="R32" s="43">
        <f>IF($C32="Deadlift",$F32,0)</f>
      </c>
      <c r="S32" s="43">
        <f>IF($C32="Overhead Press",$F32,0)</f>
      </c>
      <c r="T32" s="43">
        <f>IF($C32="Power Clean",$F32,0)</f>
      </c>
    </row>
    <row r="33" spans="1:20" x14ac:dyDescent="0.25">
      <c r="A33" s="28" t="s">
        <v>0</v>
      </c>
      <c r="B33" s="28" t="s">
        <v>0</v>
      </c>
      <c r="C33" s="28" t="s">
        <v>0</v>
      </c>
      <c r="D33" s="43">
        <f>IF(C33="","",IF(OR(C33="Squat",C33="Bench Press",C33="Overhead Press",C33="Light Squat"),"3x5",IF(C33="Deadlift","1x5",IF(C33="Power Clean","5x3","3x10"))))</f>
      </c>
      <c r="E33" s="43">
        <f>IF(C33="","",IF(NOT(OR(C33="Squat",C33="Bench Press",C33="Deadlift",C33="Overhead Press",C33="Power Clean",C33="Light Squat")),"—",IF(C33="Light Squat",IF(COUNTIF(C$10:C32,"Light Squat")=0,ROUND(SUMPRODUCT(MAX((C$10:C32="Squat")*(N$10:N32="OK")*(F$10:F32)))*Settings!$B$37/100/5,0)*5,IF(SUMPRODUCT((C$10:C32="Light Squat")*(N$10:N32="OK")*1)=0,ROUND(SUMPRODUCT(MAX((C$10:C32="Squat")*(N$10:N32="OK")*(F$10:F32)))*Settings!$B$37/100/5,0)*5,SUMPRODUCT(MAX((C$10:C32="Light Squat")*(N$10:N32="OK")*(F$10:F32)))+Settings!$B$38)),IF(SUMPRODUCT((C$10:C32=C33)*(N$10:N32="OK")*1)=0,IF(C33="Squat",Settings!$B$5,IF(C33="Bench Press",Settings!$B$6,IF(C33="Deadlift",Settings!$B$7,IF(C33="Overhead Press",Settings!$B$8,IF(C33="Power Clean",Settings!$B$9,0))))),SUMPRODUCT(MAX((C$10:C32=C33)*(N$10:N32="OK")*(F$10:F32)))+IF(C33="Squat",Settings!$B$12,IF(C33="Bench Press",Settings!$B$13,IF(C33="Deadlift",Settings!$B$14,IF(C33="Overhead Press",Settings!$B$15,IF(C33="Power Clean",Settings!$B$16,0)))))))))</f>
      </c>
      <c r="F33" s="28" t="s">
        <v>0</v>
      </c>
      <c r="G33" s="28" t="s">
        <v>0</v>
      </c>
      <c r="H33" s="28" t="s">
        <v>0</v>
      </c>
      <c r="I33" s="28" t="s">
        <v>0</v>
      </c>
      <c r="J33" s="44" t="s">
        <v>0</v>
      </c>
      <c r="K33" s="44" t="s">
        <v>0</v>
      </c>
      <c r="L33" s="43">
        <f>IF(C33="","",SUM(G33:K33))</f>
      </c>
      <c r="M33" s="43">
        <f>IF(C33="","",IF(NOT(OR(C33="Squat",C33="Bench Press",C33="Deadlift",C33="Overhead Press",C33="Power Clean",C33="Light Squat")),30,IF(OR(C33="Squat",C33="Bench Press",C33="Overhead Press",C33="Light Squat"),15,IF(C33="Deadlift",5,IF(C33="Power Clean",15,0)))))</f>
      </c>
      <c r="N33" s="43">
        <f>IF(C33="","",IF(NOT(OR(C33="Squat",C33="Bench Press",C33="Deadlift",C33="Overhead Press",C33="Power Clean",C33="Light Squat")),"—",IF(L33&gt;=M33,"OK","STALL")))</f>
      </c>
      <c r="O33" s="43" t="s">
        <v>0</v>
      </c>
      <c r="P33" s="43">
        <f>IF($C33="Squat",$F33,0)</f>
      </c>
      <c r="Q33" s="43">
        <f>IF($C33="Bench Press",$F33,0)</f>
      </c>
      <c r="R33" s="43">
        <f>IF($C33="Deadlift",$F33,0)</f>
      </c>
      <c r="S33" s="43">
        <f>IF($C33="Overhead Press",$F33,0)</f>
      </c>
      <c r="T33" s="43">
        <f>IF($C33="Power Clean",$F33,0)</f>
      </c>
    </row>
    <row r="34" spans="1:20" x14ac:dyDescent="0.25">
      <c r="A34" s="28" t="s">
        <v>0</v>
      </c>
      <c r="B34" s="28" t="s">
        <v>0</v>
      </c>
      <c r="C34" s="28" t="s">
        <v>0</v>
      </c>
      <c r="D34" s="43">
        <f>IF(C34="","",IF(OR(C34="Squat",C34="Bench Press",C34="Overhead Press",C34="Light Squat"),"3x5",IF(C34="Deadlift","1x5",IF(C34="Power Clean","5x3","3x10"))))</f>
      </c>
      <c r="E34" s="43">
        <f>IF(C34="","",IF(NOT(OR(C34="Squat",C34="Bench Press",C34="Deadlift",C34="Overhead Press",C34="Power Clean",C34="Light Squat")),"—",IF(C34="Light Squat",IF(COUNTIF(C$10:C33,"Light Squat")=0,ROUND(SUMPRODUCT(MAX((C$10:C33="Squat")*(N$10:N33="OK")*(F$10:F33)))*Settings!$B$37/100/5,0)*5,IF(SUMPRODUCT((C$10:C33="Light Squat")*(N$10:N33="OK")*1)=0,ROUND(SUMPRODUCT(MAX((C$10:C33="Squat")*(N$10:N33="OK")*(F$10:F33)))*Settings!$B$37/100/5,0)*5,SUMPRODUCT(MAX((C$10:C33="Light Squat")*(N$10:N33="OK")*(F$10:F33)))+Settings!$B$38)),IF(SUMPRODUCT((C$10:C33=C34)*(N$10:N33="OK")*1)=0,IF(C34="Squat",Settings!$B$5,IF(C34="Bench Press",Settings!$B$6,IF(C34="Deadlift",Settings!$B$7,IF(C34="Overhead Press",Settings!$B$8,IF(C34="Power Clean",Settings!$B$9,0))))),SUMPRODUCT(MAX((C$10:C33=C34)*(N$10:N33="OK")*(F$10:F33)))+IF(C34="Squat",Settings!$B$12,IF(C34="Bench Press",Settings!$B$13,IF(C34="Deadlift",Settings!$B$14,IF(C34="Overhead Press",Settings!$B$15,IF(C34="Power Clean",Settings!$B$16,0)))))))))</f>
      </c>
      <c r="F34" s="28" t="s">
        <v>0</v>
      </c>
      <c r="G34" s="28" t="s">
        <v>0</v>
      </c>
      <c r="H34" s="28" t="s">
        <v>0</v>
      </c>
      <c r="I34" s="28" t="s">
        <v>0</v>
      </c>
      <c r="J34" s="44" t="s">
        <v>0</v>
      </c>
      <c r="K34" s="44" t="s">
        <v>0</v>
      </c>
      <c r="L34" s="43">
        <f>IF(C34="","",SUM(G34:K34))</f>
      </c>
      <c r="M34" s="43">
        <f>IF(C34="","",IF(NOT(OR(C34="Squat",C34="Bench Press",C34="Deadlift",C34="Overhead Press",C34="Power Clean",C34="Light Squat")),30,IF(OR(C34="Squat",C34="Bench Press",C34="Overhead Press",C34="Light Squat"),15,IF(C34="Deadlift",5,IF(C34="Power Clean",15,0)))))</f>
      </c>
      <c r="N34" s="43">
        <f>IF(C34="","",IF(NOT(OR(C34="Squat",C34="Bench Press",C34="Deadlift",C34="Overhead Press",C34="Power Clean",C34="Light Squat")),"—",IF(L34&gt;=M34,"OK","STALL")))</f>
      </c>
      <c r="O34" s="43" t="s">
        <v>0</v>
      </c>
      <c r="P34" s="43">
        <f>IF($C34="Squat",$F34,0)</f>
      </c>
      <c r="Q34" s="43">
        <f>IF($C34="Bench Press",$F34,0)</f>
      </c>
      <c r="R34" s="43">
        <f>IF($C34="Deadlift",$F34,0)</f>
      </c>
      <c r="S34" s="43">
        <f>IF($C34="Overhead Press",$F34,0)</f>
      </c>
      <c r="T34" s="43">
        <f>IF($C34="Power Clean",$F34,0)</f>
      </c>
    </row>
    <row r="35" spans="1:20" x14ac:dyDescent="0.25">
      <c r="A35" s="28" t="s">
        <v>0</v>
      </c>
      <c r="B35" s="28" t="s">
        <v>0</v>
      </c>
      <c r="C35" s="28" t="s">
        <v>0</v>
      </c>
      <c r="D35" s="43">
        <f>IF(C35="","",IF(OR(C35="Squat",C35="Bench Press",C35="Overhead Press",C35="Light Squat"),"3x5",IF(C35="Deadlift","1x5",IF(C35="Power Clean","5x3","3x10"))))</f>
      </c>
      <c r="E35" s="43">
        <f>IF(C35="","",IF(NOT(OR(C35="Squat",C35="Bench Press",C35="Deadlift",C35="Overhead Press",C35="Power Clean",C35="Light Squat")),"—",IF(C35="Light Squat",IF(COUNTIF(C$10:C34,"Light Squat")=0,ROUND(SUMPRODUCT(MAX((C$10:C34="Squat")*(N$10:N34="OK")*(F$10:F34)))*Settings!$B$37/100/5,0)*5,IF(SUMPRODUCT((C$10:C34="Light Squat")*(N$10:N34="OK")*1)=0,ROUND(SUMPRODUCT(MAX((C$10:C34="Squat")*(N$10:N34="OK")*(F$10:F34)))*Settings!$B$37/100/5,0)*5,SUMPRODUCT(MAX((C$10:C34="Light Squat")*(N$10:N34="OK")*(F$10:F34)))+Settings!$B$38)),IF(SUMPRODUCT((C$10:C34=C35)*(N$10:N34="OK")*1)=0,IF(C35="Squat",Settings!$B$5,IF(C35="Bench Press",Settings!$B$6,IF(C35="Deadlift",Settings!$B$7,IF(C35="Overhead Press",Settings!$B$8,IF(C35="Power Clean",Settings!$B$9,0))))),SUMPRODUCT(MAX((C$10:C34=C35)*(N$10:N34="OK")*(F$10:F34)))+IF(C35="Squat",Settings!$B$12,IF(C35="Bench Press",Settings!$B$13,IF(C35="Deadlift",Settings!$B$14,IF(C35="Overhead Press",Settings!$B$15,IF(C35="Power Clean",Settings!$B$16,0)))))))))</f>
      </c>
      <c r="F35" s="28" t="s">
        <v>0</v>
      </c>
      <c r="G35" s="28" t="s">
        <v>0</v>
      </c>
      <c r="H35" s="28" t="s">
        <v>0</v>
      </c>
      <c r="I35" s="28" t="s">
        <v>0</v>
      </c>
      <c r="J35" s="44" t="s">
        <v>0</v>
      </c>
      <c r="K35" s="44" t="s">
        <v>0</v>
      </c>
      <c r="L35" s="43">
        <f>IF(C35="","",SUM(G35:K35))</f>
      </c>
      <c r="M35" s="43">
        <f>IF(C35="","",IF(NOT(OR(C35="Squat",C35="Bench Press",C35="Deadlift",C35="Overhead Press",C35="Power Clean",C35="Light Squat")),30,IF(OR(C35="Squat",C35="Bench Press",C35="Overhead Press",C35="Light Squat"),15,IF(C35="Deadlift",5,IF(C35="Power Clean",15,0)))))</f>
      </c>
      <c r="N35" s="43">
        <f>IF(C35="","",IF(NOT(OR(C35="Squat",C35="Bench Press",C35="Deadlift",C35="Overhead Press",C35="Power Clean",C35="Light Squat")),"—",IF(L35&gt;=M35,"OK","STALL")))</f>
      </c>
      <c r="O35" s="43" t="s">
        <v>0</v>
      </c>
      <c r="P35" s="43">
        <f>IF($C35="Squat",$F35,0)</f>
      </c>
      <c r="Q35" s="43">
        <f>IF($C35="Bench Press",$F35,0)</f>
      </c>
      <c r="R35" s="43">
        <f>IF($C35="Deadlift",$F35,0)</f>
      </c>
      <c r="S35" s="43">
        <f>IF($C35="Overhead Press",$F35,0)</f>
      </c>
      <c r="T35" s="43">
        <f>IF($C35="Power Clean",$F35,0)</f>
      </c>
    </row>
    <row r="36" spans="1:20" x14ac:dyDescent="0.25">
      <c r="A36" s="28" t="s">
        <v>0</v>
      </c>
      <c r="B36" s="28" t="s">
        <v>0</v>
      </c>
      <c r="C36" s="28" t="s">
        <v>0</v>
      </c>
      <c r="D36" s="43">
        <f>IF(C36="","",IF(OR(C36="Squat",C36="Bench Press",C36="Overhead Press",C36="Light Squat"),"3x5",IF(C36="Deadlift","1x5",IF(C36="Power Clean","5x3","3x10"))))</f>
      </c>
      <c r="E36" s="43">
        <f>IF(C36="","",IF(NOT(OR(C36="Squat",C36="Bench Press",C36="Deadlift",C36="Overhead Press",C36="Power Clean",C36="Light Squat")),"—",IF(C36="Light Squat",IF(COUNTIF(C$10:C35,"Light Squat")=0,ROUND(SUMPRODUCT(MAX((C$10:C35="Squat")*(N$10:N35="OK")*(F$10:F35)))*Settings!$B$37/100/5,0)*5,IF(SUMPRODUCT((C$10:C35="Light Squat")*(N$10:N35="OK")*1)=0,ROUND(SUMPRODUCT(MAX((C$10:C35="Squat")*(N$10:N35="OK")*(F$10:F35)))*Settings!$B$37/100/5,0)*5,SUMPRODUCT(MAX((C$10:C35="Light Squat")*(N$10:N35="OK")*(F$10:F35)))+Settings!$B$38)),IF(SUMPRODUCT((C$10:C35=C36)*(N$10:N35="OK")*1)=0,IF(C36="Squat",Settings!$B$5,IF(C36="Bench Press",Settings!$B$6,IF(C36="Deadlift",Settings!$B$7,IF(C36="Overhead Press",Settings!$B$8,IF(C36="Power Clean",Settings!$B$9,0))))),SUMPRODUCT(MAX((C$10:C35=C36)*(N$10:N35="OK")*(F$10:F35)))+IF(C36="Squat",Settings!$B$12,IF(C36="Bench Press",Settings!$B$13,IF(C36="Deadlift",Settings!$B$14,IF(C36="Overhead Press",Settings!$B$15,IF(C36="Power Clean",Settings!$B$16,0)))))))))</f>
      </c>
      <c r="F36" s="28" t="s">
        <v>0</v>
      </c>
      <c r="G36" s="28" t="s">
        <v>0</v>
      </c>
      <c r="H36" s="28" t="s">
        <v>0</v>
      </c>
      <c r="I36" s="28" t="s">
        <v>0</v>
      </c>
      <c r="J36" s="44" t="s">
        <v>0</v>
      </c>
      <c r="K36" s="44" t="s">
        <v>0</v>
      </c>
      <c r="L36" s="43">
        <f>IF(C36="","",SUM(G36:K36))</f>
      </c>
      <c r="M36" s="43">
        <f>IF(C36="","",IF(NOT(OR(C36="Squat",C36="Bench Press",C36="Deadlift",C36="Overhead Press",C36="Power Clean",C36="Light Squat")),30,IF(OR(C36="Squat",C36="Bench Press",C36="Overhead Press",C36="Light Squat"),15,IF(C36="Deadlift",5,IF(C36="Power Clean",15,0)))))</f>
      </c>
      <c r="N36" s="43">
        <f>IF(C36="","",IF(NOT(OR(C36="Squat",C36="Bench Press",C36="Deadlift",C36="Overhead Press",C36="Power Clean",C36="Light Squat")),"—",IF(L36&gt;=M36,"OK","STALL")))</f>
      </c>
      <c r="O36" s="43" t="s">
        <v>0</v>
      </c>
      <c r="P36" s="43">
        <f>IF($C36="Squat",$F36,0)</f>
      </c>
      <c r="Q36" s="43">
        <f>IF($C36="Bench Press",$F36,0)</f>
      </c>
      <c r="R36" s="43">
        <f>IF($C36="Deadlift",$F36,0)</f>
      </c>
      <c r="S36" s="43">
        <f>IF($C36="Overhead Press",$F36,0)</f>
      </c>
      <c r="T36" s="43">
        <f>IF($C36="Power Clean",$F36,0)</f>
      </c>
    </row>
    <row r="37" spans="1:20" x14ac:dyDescent="0.25">
      <c r="A37" s="28" t="s">
        <v>0</v>
      </c>
      <c r="B37" s="28" t="s">
        <v>0</v>
      </c>
      <c r="C37" s="28" t="s">
        <v>0</v>
      </c>
      <c r="D37" s="43">
        <f>IF(C37="","",IF(OR(C37="Squat",C37="Bench Press",C37="Overhead Press",C37="Light Squat"),"3x5",IF(C37="Deadlift","1x5",IF(C37="Power Clean","5x3","3x10"))))</f>
      </c>
      <c r="E37" s="43">
        <f>IF(C37="","",IF(NOT(OR(C37="Squat",C37="Bench Press",C37="Deadlift",C37="Overhead Press",C37="Power Clean",C37="Light Squat")),"—",IF(C37="Light Squat",IF(COUNTIF(C$10:C36,"Light Squat")=0,ROUND(SUMPRODUCT(MAX((C$10:C36="Squat")*(N$10:N36="OK")*(F$10:F36)))*Settings!$B$37/100/5,0)*5,IF(SUMPRODUCT((C$10:C36="Light Squat")*(N$10:N36="OK")*1)=0,ROUND(SUMPRODUCT(MAX((C$10:C36="Squat")*(N$10:N36="OK")*(F$10:F36)))*Settings!$B$37/100/5,0)*5,SUMPRODUCT(MAX((C$10:C36="Light Squat")*(N$10:N36="OK")*(F$10:F36)))+Settings!$B$38)),IF(SUMPRODUCT((C$10:C36=C37)*(N$10:N36="OK")*1)=0,IF(C37="Squat",Settings!$B$5,IF(C37="Bench Press",Settings!$B$6,IF(C37="Deadlift",Settings!$B$7,IF(C37="Overhead Press",Settings!$B$8,IF(C37="Power Clean",Settings!$B$9,0))))),SUMPRODUCT(MAX((C$10:C36=C37)*(N$10:N36="OK")*(F$10:F36)))+IF(C37="Squat",Settings!$B$12,IF(C37="Bench Press",Settings!$B$13,IF(C37="Deadlift",Settings!$B$14,IF(C37="Overhead Press",Settings!$B$15,IF(C37="Power Clean",Settings!$B$16,0)))))))))</f>
      </c>
      <c r="F37" s="28" t="s">
        <v>0</v>
      </c>
      <c r="G37" s="28" t="s">
        <v>0</v>
      </c>
      <c r="H37" s="28" t="s">
        <v>0</v>
      </c>
      <c r="I37" s="28" t="s">
        <v>0</v>
      </c>
      <c r="J37" s="44" t="s">
        <v>0</v>
      </c>
      <c r="K37" s="44" t="s">
        <v>0</v>
      </c>
      <c r="L37" s="43">
        <f>IF(C37="","",SUM(G37:K37))</f>
      </c>
      <c r="M37" s="43">
        <f>IF(C37="","",IF(NOT(OR(C37="Squat",C37="Bench Press",C37="Deadlift",C37="Overhead Press",C37="Power Clean",C37="Light Squat")),30,IF(OR(C37="Squat",C37="Bench Press",C37="Overhead Press",C37="Light Squat"),15,IF(C37="Deadlift",5,IF(C37="Power Clean",15,0)))))</f>
      </c>
      <c r="N37" s="43">
        <f>IF(C37="","",IF(NOT(OR(C37="Squat",C37="Bench Press",C37="Deadlift",C37="Overhead Press",C37="Power Clean",C37="Light Squat")),"—",IF(L37&gt;=M37,"OK","STALL")))</f>
      </c>
      <c r="O37" s="43" t="s">
        <v>0</v>
      </c>
      <c r="P37" s="43">
        <f>IF($C37="Squat",$F37,0)</f>
      </c>
      <c r="Q37" s="43">
        <f>IF($C37="Bench Press",$F37,0)</f>
      </c>
      <c r="R37" s="43">
        <f>IF($C37="Deadlift",$F37,0)</f>
      </c>
      <c r="S37" s="43">
        <f>IF($C37="Overhead Press",$F37,0)</f>
      </c>
      <c r="T37" s="43">
        <f>IF($C37="Power Clean",$F37,0)</f>
      </c>
    </row>
    <row r="38" spans="1:20" x14ac:dyDescent="0.25">
      <c r="A38" s="28" t="s">
        <v>0</v>
      </c>
      <c r="B38" s="28" t="s">
        <v>0</v>
      </c>
      <c r="C38" s="28" t="s">
        <v>0</v>
      </c>
      <c r="D38" s="43">
        <f>IF(C38="","",IF(OR(C38="Squat",C38="Bench Press",C38="Overhead Press",C38="Light Squat"),"3x5",IF(C38="Deadlift","1x5",IF(C38="Power Clean","5x3","3x10"))))</f>
      </c>
      <c r="E38" s="43">
        <f>IF(C38="","",IF(NOT(OR(C38="Squat",C38="Bench Press",C38="Deadlift",C38="Overhead Press",C38="Power Clean",C38="Light Squat")),"—",IF(C38="Light Squat",IF(COUNTIF(C$10:C37,"Light Squat")=0,ROUND(SUMPRODUCT(MAX((C$10:C37="Squat")*(N$10:N37="OK")*(F$10:F37)))*Settings!$B$37/100/5,0)*5,IF(SUMPRODUCT((C$10:C37="Light Squat")*(N$10:N37="OK")*1)=0,ROUND(SUMPRODUCT(MAX((C$10:C37="Squat")*(N$10:N37="OK")*(F$10:F37)))*Settings!$B$37/100/5,0)*5,SUMPRODUCT(MAX((C$10:C37="Light Squat")*(N$10:N37="OK")*(F$10:F37)))+Settings!$B$38)),IF(SUMPRODUCT((C$10:C37=C38)*(N$10:N37="OK")*1)=0,IF(C38="Squat",Settings!$B$5,IF(C38="Bench Press",Settings!$B$6,IF(C38="Deadlift",Settings!$B$7,IF(C38="Overhead Press",Settings!$B$8,IF(C38="Power Clean",Settings!$B$9,0))))),SUMPRODUCT(MAX((C$10:C37=C38)*(N$10:N37="OK")*(F$10:F37)))+IF(C38="Squat",Settings!$B$12,IF(C38="Bench Press",Settings!$B$13,IF(C38="Deadlift",Settings!$B$14,IF(C38="Overhead Press",Settings!$B$15,IF(C38="Power Clean",Settings!$B$16,0)))))))))</f>
      </c>
      <c r="F38" s="28" t="s">
        <v>0</v>
      </c>
      <c r="G38" s="28" t="s">
        <v>0</v>
      </c>
      <c r="H38" s="28" t="s">
        <v>0</v>
      </c>
      <c r="I38" s="28" t="s">
        <v>0</v>
      </c>
      <c r="J38" s="44" t="s">
        <v>0</v>
      </c>
      <c r="K38" s="44" t="s">
        <v>0</v>
      </c>
      <c r="L38" s="43">
        <f>IF(C38="","",SUM(G38:K38))</f>
      </c>
      <c r="M38" s="43">
        <f>IF(C38="","",IF(NOT(OR(C38="Squat",C38="Bench Press",C38="Deadlift",C38="Overhead Press",C38="Power Clean",C38="Light Squat")),30,IF(OR(C38="Squat",C38="Bench Press",C38="Overhead Press",C38="Light Squat"),15,IF(C38="Deadlift",5,IF(C38="Power Clean",15,0)))))</f>
      </c>
      <c r="N38" s="43">
        <f>IF(C38="","",IF(NOT(OR(C38="Squat",C38="Bench Press",C38="Deadlift",C38="Overhead Press",C38="Power Clean",C38="Light Squat")),"—",IF(L38&gt;=M38,"OK","STALL")))</f>
      </c>
      <c r="O38" s="43" t="s">
        <v>0</v>
      </c>
      <c r="P38" s="43">
        <f>IF($C38="Squat",$F38,0)</f>
      </c>
      <c r="Q38" s="43">
        <f>IF($C38="Bench Press",$F38,0)</f>
      </c>
      <c r="R38" s="43">
        <f>IF($C38="Deadlift",$F38,0)</f>
      </c>
      <c r="S38" s="43">
        <f>IF($C38="Overhead Press",$F38,0)</f>
      </c>
      <c r="T38" s="43">
        <f>IF($C38="Power Clean",$F38,0)</f>
      </c>
    </row>
    <row r="39" spans="1:20" x14ac:dyDescent="0.25">
      <c r="A39" s="28" t="s">
        <v>0</v>
      </c>
      <c r="B39" s="28" t="s">
        <v>0</v>
      </c>
      <c r="C39" s="28" t="s">
        <v>0</v>
      </c>
      <c r="D39" s="43">
        <f>IF(C39="","",IF(OR(C39="Squat",C39="Bench Press",C39="Overhead Press",C39="Light Squat"),"3x5",IF(C39="Deadlift","1x5",IF(C39="Power Clean","5x3","3x10"))))</f>
      </c>
      <c r="E39" s="43">
        <f>IF(C39="","",IF(NOT(OR(C39="Squat",C39="Bench Press",C39="Deadlift",C39="Overhead Press",C39="Power Clean",C39="Light Squat")),"—",IF(C39="Light Squat",IF(COUNTIF(C$10:C38,"Light Squat")=0,ROUND(SUMPRODUCT(MAX((C$10:C38="Squat")*(N$10:N38="OK")*(F$10:F38)))*Settings!$B$37/100/5,0)*5,IF(SUMPRODUCT((C$10:C38="Light Squat")*(N$10:N38="OK")*1)=0,ROUND(SUMPRODUCT(MAX((C$10:C38="Squat")*(N$10:N38="OK")*(F$10:F38)))*Settings!$B$37/100/5,0)*5,SUMPRODUCT(MAX((C$10:C38="Light Squat")*(N$10:N38="OK")*(F$10:F38)))+Settings!$B$38)),IF(SUMPRODUCT((C$10:C38=C39)*(N$10:N38="OK")*1)=0,IF(C39="Squat",Settings!$B$5,IF(C39="Bench Press",Settings!$B$6,IF(C39="Deadlift",Settings!$B$7,IF(C39="Overhead Press",Settings!$B$8,IF(C39="Power Clean",Settings!$B$9,0))))),SUMPRODUCT(MAX((C$10:C38=C39)*(N$10:N38="OK")*(F$10:F38)))+IF(C39="Squat",Settings!$B$12,IF(C39="Bench Press",Settings!$B$13,IF(C39="Deadlift",Settings!$B$14,IF(C39="Overhead Press",Settings!$B$15,IF(C39="Power Clean",Settings!$B$16,0)))))))))</f>
      </c>
      <c r="F39" s="28" t="s">
        <v>0</v>
      </c>
      <c r="G39" s="28" t="s">
        <v>0</v>
      </c>
      <c r="H39" s="28" t="s">
        <v>0</v>
      </c>
      <c r="I39" s="28" t="s">
        <v>0</v>
      </c>
      <c r="J39" s="44" t="s">
        <v>0</v>
      </c>
      <c r="K39" s="44" t="s">
        <v>0</v>
      </c>
      <c r="L39" s="43">
        <f>IF(C39="","",SUM(G39:K39))</f>
      </c>
      <c r="M39" s="43">
        <f>IF(C39="","",IF(NOT(OR(C39="Squat",C39="Bench Press",C39="Deadlift",C39="Overhead Press",C39="Power Clean",C39="Light Squat")),30,IF(OR(C39="Squat",C39="Bench Press",C39="Overhead Press",C39="Light Squat"),15,IF(C39="Deadlift",5,IF(C39="Power Clean",15,0)))))</f>
      </c>
      <c r="N39" s="43">
        <f>IF(C39="","",IF(NOT(OR(C39="Squat",C39="Bench Press",C39="Deadlift",C39="Overhead Press",C39="Power Clean",C39="Light Squat")),"—",IF(L39&gt;=M39,"OK","STALL")))</f>
      </c>
      <c r="O39" s="43" t="s">
        <v>0</v>
      </c>
      <c r="P39" s="43">
        <f>IF($C39="Squat",$F39,0)</f>
      </c>
      <c r="Q39" s="43">
        <f>IF($C39="Bench Press",$F39,0)</f>
      </c>
      <c r="R39" s="43">
        <f>IF($C39="Deadlift",$F39,0)</f>
      </c>
      <c r="S39" s="43">
        <f>IF($C39="Overhead Press",$F39,0)</f>
      </c>
      <c r="T39" s="43">
        <f>IF($C39="Power Clean",$F39,0)</f>
      </c>
    </row>
    <row r="40" spans="1:20" x14ac:dyDescent="0.25">
      <c r="A40" s="28" t="s">
        <v>0</v>
      </c>
      <c r="B40" s="28" t="s">
        <v>0</v>
      </c>
      <c r="C40" s="28" t="s">
        <v>0</v>
      </c>
      <c r="D40" s="43">
        <f>IF(C40="","",IF(OR(C40="Squat",C40="Bench Press",C40="Overhead Press",C40="Light Squat"),"3x5",IF(C40="Deadlift","1x5",IF(C40="Power Clean","5x3","3x10"))))</f>
      </c>
      <c r="E40" s="43">
        <f>IF(C40="","",IF(NOT(OR(C40="Squat",C40="Bench Press",C40="Deadlift",C40="Overhead Press",C40="Power Clean",C40="Light Squat")),"—",IF(C40="Light Squat",IF(COUNTIF(C$10:C39,"Light Squat")=0,ROUND(SUMPRODUCT(MAX((C$10:C39="Squat")*(N$10:N39="OK")*(F$10:F39)))*Settings!$B$37/100/5,0)*5,IF(SUMPRODUCT((C$10:C39="Light Squat")*(N$10:N39="OK")*1)=0,ROUND(SUMPRODUCT(MAX((C$10:C39="Squat")*(N$10:N39="OK")*(F$10:F39)))*Settings!$B$37/100/5,0)*5,SUMPRODUCT(MAX((C$10:C39="Light Squat")*(N$10:N39="OK")*(F$10:F39)))+Settings!$B$38)),IF(SUMPRODUCT((C$10:C39=C40)*(N$10:N39="OK")*1)=0,IF(C40="Squat",Settings!$B$5,IF(C40="Bench Press",Settings!$B$6,IF(C40="Deadlift",Settings!$B$7,IF(C40="Overhead Press",Settings!$B$8,IF(C40="Power Clean",Settings!$B$9,0))))),SUMPRODUCT(MAX((C$10:C39=C40)*(N$10:N39="OK")*(F$10:F39)))+IF(C40="Squat",Settings!$B$12,IF(C40="Bench Press",Settings!$B$13,IF(C40="Deadlift",Settings!$B$14,IF(C40="Overhead Press",Settings!$B$15,IF(C40="Power Clean",Settings!$B$16,0)))))))))</f>
      </c>
      <c r="F40" s="28" t="s">
        <v>0</v>
      </c>
      <c r="G40" s="28" t="s">
        <v>0</v>
      </c>
      <c r="H40" s="28" t="s">
        <v>0</v>
      </c>
      <c r="I40" s="28" t="s">
        <v>0</v>
      </c>
      <c r="J40" s="44" t="s">
        <v>0</v>
      </c>
      <c r="K40" s="44" t="s">
        <v>0</v>
      </c>
      <c r="L40" s="43">
        <f>IF(C40="","",SUM(G40:K40))</f>
      </c>
      <c r="M40" s="43">
        <f>IF(C40="","",IF(NOT(OR(C40="Squat",C40="Bench Press",C40="Deadlift",C40="Overhead Press",C40="Power Clean",C40="Light Squat")),30,IF(OR(C40="Squat",C40="Bench Press",C40="Overhead Press",C40="Light Squat"),15,IF(C40="Deadlift",5,IF(C40="Power Clean",15,0)))))</f>
      </c>
      <c r="N40" s="43">
        <f>IF(C40="","",IF(NOT(OR(C40="Squat",C40="Bench Press",C40="Deadlift",C40="Overhead Press",C40="Power Clean",C40="Light Squat")),"—",IF(L40&gt;=M40,"OK","STALL")))</f>
      </c>
      <c r="O40" s="43" t="s">
        <v>0</v>
      </c>
      <c r="P40" s="43">
        <f>IF($C40="Squat",$F40,0)</f>
      </c>
      <c r="Q40" s="43">
        <f>IF($C40="Bench Press",$F40,0)</f>
      </c>
      <c r="R40" s="43">
        <f>IF($C40="Deadlift",$F40,0)</f>
      </c>
      <c r="S40" s="43">
        <f>IF($C40="Overhead Press",$F40,0)</f>
      </c>
      <c r="T40" s="43">
        <f>IF($C40="Power Clean",$F40,0)</f>
      </c>
    </row>
    <row r="41" spans="1:20" x14ac:dyDescent="0.25">
      <c r="A41" s="28" t="s">
        <v>0</v>
      </c>
      <c r="B41" s="28" t="s">
        <v>0</v>
      </c>
      <c r="C41" s="28" t="s">
        <v>0</v>
      </c>
      <c r="D41" s="43">
        <f>IF(C41="","",IF(OR(C41="Squat",C41="Bench Press",C41="Overhead Press",C41="Light Squat"),"3x5",IF(C41="Deadlift","1x5",IF(C41="Power Clean","5x3","3x10"))))</f>
      </c>
      <c r="E41" s="43">
        <f>IF(C41="","",IF(NOT(OR(C41="Squat",C41="Bench Press",C41="Deadlift",C41="Overhead Press",C41="Power Clean",C41="Light Squat")),"—",IF(C41="Light Squat",IF(COUNTIF(C$10:C40,"Light Squat")=0,ROUND(SUMPRODUCT(MAX((C$10:C40="Squat")*(N$10:N40="OK")*(F$10:F40)))*Settings!$B$37/100/5,0)*5,IF(SUMPRODUCT((C$10:C40="Light Squat")*(N$10:N40="OK")*1)=0,ROUND(SUMPRODUCT(MAX((C$10:C40="Squat")*(N$10:N40="OK")*(F$10:F40)))*Settings!$B$37/100/5,0)*5,SUMPRODUCT(MAX((C$10:C40="Light Squat")*(N$10:N40="OK")*(F$10:F40)))+Settings!$B$38)),IF(SUMPRODUCT((C$10:C40=C41)*(N$10:N40="OK")*1)=0,IF(C41="Squat",Settings!$B$5,IF(C41="Bench Press",Settings!$B$6,IF(C41="Deadlift",Settings!$B$7,IF(C41="Overhead Press",Settings!$B$8,IF(C41="Power Clean",Settings!$B$9,0))))),SUMPRODUCT(MAX((C$10:C40=C41)*(N$10:N40="OK")*(F$10:F40)))+IF(C41="Squat",Settings!$B$12,IF(C41="Bench Press",Settings!$B$13,IF(C41="Deadlift",Settings!$B$14,IF(C41="Overhead Press",Settings!$B$15,IF(C41="Power Clean",Settings!$B$16,0)))))))))</f>
      </c>
      <c r="F41" s="28" t="s">
        <v>0</v>
      </c>
      <c r="G41" s="28" t="s">
        <v>0</v>
      </c>
      <c r="H41" s="28" t="s">
        <v>0</v>
      </c>
      <c r="I41" s="28" t="s">
        <v>0</v>
      </c>
      <c r="J41" s="44" t="s">
        <v>0</v>
      </c>
      <c r="K41" s="44" t="s">
        <v>0</v>
      </c>
      <c r="L41" s="43">
        <f>IF(C41="","",SUM(G41:K41))</f>
      </c>
      <c r="M41" s="43">
        <f>IF(C41="","",IF(NOT(OR(C41="Squat",C41="Bench Press",C41="Deadlift",C41="Overhead Press",C41="Power Clean",C41="Light Squat")),30,IF(OR(C41="Squat",C41="Bench Press",C41="Overhead Press",C41="Light Squat"),15,IF(C41="Deadlift",5,IF(C41="Power Clean",15,0)))))</f>
      </c>
      <c r="N41" s="43">
        <f>IF(C41="","",IF(NOT(OR(C41="Squat",C41="Bench Press",C41="Deadlift",C41="Overhead Press",C41="Power Clean",C41="Light Squat")),"—",IF(L41&gt;=M41,"OK","STALL")))</f>
      </c>
      <c r="O41" s="43" t="s">
        <v>0</v>
      </c>
      <c r="P41" s="43">
        <f>IF($C41="Squat",$F41,0)</f>
      </c>
      <c r="Q41" s="43">
        <f>IF($C41="Bench Press",$F41,0)</f>
      </c>
      <c r="R41" s="43">
        <f>IF($C41="Deadlift",$F41,0)</f>
      </c>
      <c r="S41" s="43">
        <f>IF($C41="Overhead Press",$F41,0)</f>
      </c>
      <c r="T41" s="43">
        <f>IF($C41="Power Clean",$F41,0)</f>
      </c>
    </row>
    <row r="42" spans="1:20" x14ac:dyDescent="0.25">
      <c r="A42" s="28" t="s">
        <v>0</v>
      </c>
      <c r="B42" s="28" t="s">
        <v>0</v>
      </c>
      <c r="C42" s="28" t="s">
        <v>0</v>
      </c>
      <c r="D42" s="43">
        <f>IF(C42="","",IF(OR(C42="Squat",C42="Bench Press",C42="Overhead Press",C42="Light Squat"),"3x5",IF(C42="Deadlift","1x5",IF(C42="Power Clean","5x3","3x10"))))</f>
      </c>
      <c r="E42" s="43">
        <f>IF(C42="","",IF(NOT(OR(C42="Squat",C42="Bench Press",C42="Deadlift",C42="Overhead Press",C42="Power Clean",C42="Light Squat")),"—",IF(C42="Light Squat",IF(COUNTIF(C$10:C41,"Light Squat")=0,ROUND(SUMPRODUCT(MAX((C$10:C41="Squat")*(N$10:N41="OK")*(F$10:F41)))*Settings!$B$37/100/5,0)*5,IF(SUMPRODUCT((C$10:C41="Light Squat")*(N$10:N41="OK")*1)=0,ROUND(SUMPRODUCT(MAX((C$10:C41="Squat")*(N$10:N41="OK")*(F$10:F41)))*Settings!$B$37/100/5,0)*5,SUMPRODUCT(MAX((C$10:C41="Light Squat")*(N$10:N41="OK")*(F$10:F41)))+Settings!$B$38)),IF(SUMPRODUCT((C$10:C41=C42)*(N$10:N41="OK")*1)=0,IF(C42="Squat",Settings!$B$5,IF(C42="Bench Press",Settings!$B$6,IF(C42="Deadlift",Settings!$B$7,IF(C42="Overhead Press",Settings!$B$8,IF(C42="Power Clean",Settings!$B$9,0))))),SUMPRODUCT(MAX((C$10:C41=C42)*(N$10:N41="OK")*(F$10:F41)))+IF(C42="Squat",Settings!$B$12,IF(C42="Bench Press",Settings!$B$13,IF(C42="Deadlift",Settings!$B$14,IF(C42="Overhead Press",Settings!$B$15,IF(C42="Power Clean",Settings!$B$16,0)))))))))</f>
      </c>
      <c r="F42" s="28" t="s">
        <v>0</v>
      </c>
      <c r="G42" s="28" t="s">
        <v>0</v>
      </c>
      <c r="H42" s="28" t="s">
        <v>0</v>
      </c>
      <c r="I42" s="28" t="s">
        <v>0</v>
      </c>
      <c r="J42" s="44" t="s">
        <v>0</v>
      </c>
      <c r="K42" s="44" t="s">
        <v>0</v>
      </c>
      <c r="L42" s="43">
        <f>IF(C42="","",SUM(G42:K42))</f>
      </c>
      <c r="M42" s="43">
        <f>IF(C42="","",IF(NOT(OR(C42="Squat",C42="Bench Press",C42="Deadlift",C42="Overhead Press",C42="Power Clean",C42="Light Squat")),30,IF(OR(C42="Squat",C42="Bench Press",C42="Overhead Press",C42="Light Squat"),15,IF(C42="Deadlift",5,IF(C42="Power Clean",15,0)))))</f>
      </c>
      <c r="N42" s="43">
        <f>IF(C42="","",IF(NOT(OR(C42="Squat",C42="Bench Press",C42="Deadlift",C42="Overhead Press",C42="Power Clean",C42="Light Squat")),"—",IF(L42&gt;=M42,"OK","STALL")))</f>
      </c>
      <c r="O42" s="43" t="s">
        <v>0</v>
      </c>
      <c r="P42" s="43">
        <f>IF($C42="Squat",$F42,0)</f>
      </c>
      <c r="Q42" s="43">
        <f>IF($C42="Bench Press",$F42,0)</f>
      </c>
      <c r="R42" s="43">
        <f>IF($C42="Deadlift",$F42,0)</f>
      </c>
      <c r="S42" s="43">
        <f>IF($C42="Overhead Press",$F42,0)</f>
      </c>
      <c r="T42" s="43">
        <f>IF($C42="Power Clean",$F42,0)</f>
      </c>
    </row>
    <row r="43" spans="1:20" x14ac:dyDescent="0.25">
      <c r="A43" s="28" t="s">
        <v>0</v>
      </c>
      <c r="B43" s="28" t="s">
        <v>0</v>
      </c>
      <c r="C43" s="28" t="s">
        <v>0</v>
      </c>
      <c r="D43" s="43">
        <f>IF(C43="","",IF(OR(C43="Squat",C43="Bench Press",C43="Overhead Press",C43="Light Squat"),"3x5",IF(C43="Deadlift","1x5",IF(C43="Power Clean","5x3","3x10"))))</f>
      </c>
      <c r="E43" s="43">
        <f>IF(C43="","",IF(NOT(OR(C43="Squat",C43="Bench Press",C43="Deadlift",C43="Overhead Press",C43="Power Clean",C43="Light Squat")),"—",IF(C43="Light Squat",IF(COUNTIF(C$10:C42,"Light Squat")=0,ROUND(SUMPRODUCT(MAX((C$10:C42="Squat")*(N$10:N42="OK")*(F$10:F42)))*Settings!$B$37/100/5,0)*5,IF(SUMPRODUCT((C$10:C42="Light Squat")*(N$10:N42="OK")*1)=0,ROUND(SUMPRODUCT(MAX((C$10:C42="Squat")*(N$10:N42="OK")*(F$10:F42)))*Settings!$B$37/100/5,0)*5,SUMPRODUCT(MAX((C$10:C42="Light Squat")*(N$10:N42="OK")*(F$10:F42)))+Settings!$B$38)),IF(SUMPRODUCT((C$10:C42=C43)*(N$10:N42="OK")*1)=0,IF(C43="Squat",Settings!$B$5,IF(C43="Bench Press",Settings!$B$6,IF(C43="Deadlift",Settings!$B$7,IF(C43="Overhead Press",Settings!$B$8,IF(C43="Power Clean",Settings!$B$9,0))))),SUMPRODUCT(MAX((C$10:C42=C43)*(N$10:N42="OK")*(F$10:F42)))+IF(C43="Squat",Settings!$B$12,IF(C43="Bench Press",Settings!$B$13,IF(C43="Deadlift",Settings!$B$14,IF(C43="Overhead Press",Settings!$B$15,IF(C43="Power Clean",Settings!$B$16,0)))))))))</f>
      </c>
      <c r="F43" s="28" t="s">
        <v>0</v>
      </c>
      <c r="G43" s="28" t="s">
        <v>0</v>
      </c>
      <c r="H43" s="28" t="s">
        <v>0</v>
      </c>
      <c r="I43" s="28" t="s">
        <v>0</v>
      </c>
      <c r="J43" s="44" t="s">
        <v>0</v>
      </c>
      <c r="K43" s="44" t="s">
        <v>0</v>
      </c>
      <c r="L43" s="43">
        <f>IF(C43="","",SUM(G43:K43))</f>
      </c>
      <c r="M43" s="43">
        <f>IF(C43="","",IF(NOT(OR(C43="Squat",C43="Bench Press",C43="Deadlift",C43="Overhead Press",C43="Power Clean",C43="Light Squat")),30,IF(OR(C43="Squat",C43="Bench Press",C43="Overhead Press",C43="Light Squat"),15,IF(C43="Deadlift",5,IF(C43="Power Clean",15,0)))))</f>
      </c>
      <c r="N43" s="43">
        <f>IF(C43="","",IF(NOT(OR(C43="Squat",C43="Bench Press",C43="Deadlift",C43="Overhead Press",C43="Power Clean",C43="Light Squat")),"—",IF(L43&gt;=M43,"OK","STALL")))</f>
      </c>
      <c r="O43" s="43" t="s">
        <v>0</v>
      </c>
      <c r="P43" s="43">
        <f>IF($C43="Squat",$F43,0)</f>
      </c>
      <c r="Q43" s="43">
        <f>IF($C43="Bench Press",$F43,0)</f>
      </c>
      <c r="R43" s="43">
        <f>IF($C43="Deadlift",$F43,0)</f>
      </c>
      <c r="S43" s="43">
        <f>IF($C43="Overhead Press",$F43,0)</f>
      </c>
      <c r="T43" s="43">
        <f>IF($C43="Power Clean",$F43,0)</f>
      </c>
    </row>
    <row r="44" spans="1:20" x14ac:dyDescent="0.25">
      <c r="A44" s="28" t="s">
        <v>0</v>
      </c>
      <c r="B44" s="28" t="s">
        <v>0</v>
      </c>
      <c r="C44" s="28" t="s">
        <v>0</v>
      </c>
      <c r="D44" s="43">
        <f>IF(C44="","",IF(OR(C44="Squat",C44="Bench Press",C44="Overhead Press",C44="Light Squat"),"3x5",IF(C44="Deadlift","1x5",IF(C44="Power Clean","5x3","3x10"))))</f>
      </c>
      <c r="E44" s="43">
        <f>IF(C44="","",IF(NOT(OR(C44="Squat",C44="Bench Press",C44="Deadlift",C44="Overhead Press",C44="Power Clean",C44="Light Squat")),"—",IF(C44="Light Squat",IF(COUNTIF(C$10:C43,"Light Squat")=0,ROUND(SUMPRODUCT(MAX((C$10:C43="Squat")*(N$10:N43="OK")*(F$10:F43)))*Settings!$B$37/100/5,0)*5,IF(SUMPRODUCT((C$10:C43="Light Squat")*(N$10:N43="OK")*1)=0,ROUND(SUMPRODUCT(MAX((C$10:C43="Squat")*(N$10:N43="OK")*(F$10:F43)))*Settings!$B$37/100/5,0)*5,SUMPRODUCT(MAX((C$10:C43="Light Squat")*(N$10:N43="OK")*(F$10:F43)))+Settings!$B$38)),IF(SUMPRODUCT((C$10:C43=C44)*(N$10:N43="OK")*1)=0,IF(C44="Squat",Settings!$B$5,IF(C44="Bench Press",Settings!$B$6,IF(C44="Deadlift",Settings!$B$7,IF(C44="Overhead Press",Settings!$B$8,IF(C44="Power Clean",Settings!$B$9,0))))),SUMPRODUCT(MAX((C$10:C43=C44)*(N$10:N43="OK")*(F$10:F43)))+IF(C44="Squat",Settings!$B$12,IF(C44="Bench Press",Settings!$B$13,IF(C44="Deadlift",Settings!$B$14,IF(C44="Overhead Press",Settings!$B$15,IF(C44="Power Clean",Settings!$B$16,0)))))))))</f>
      </c>
      <c r="F44" s="28" t="s">
        <v>0</v>
      </c>
      <c r="G44" s="28" t="s">
        <v>0</v>
      </c>
      <c r="H44" s="28" t="s">
        <v>0</v>
      </c>
      <c r="I44" s="28" t="s">
        <v>0</v>
      </c>
      <c r="J44" s="44" t="s">
        <v>0</v>
      </c>
      <c r="K44" s="44" t="s">
        <v>0</v>
      </c>
      <c r="L44" s="43">
        <f>IF(C44="","",SUM(G44:K44))</f>
      </c>
      <c r="M44" s="43">
        <f>IF(C44="","",IF(NOT(OR(C44="Squat",C44="Bench Press",C44="Deadlift",C44="Overhead Press",C44="Power Clean",C44="Light Squat")),30,IF(OR(C44="Squat",C44="Bench Press",C44="Overhead Press",C44="Light Squat"),15,IF(C44="Deadlift",5,IF(C44="Power Clean",15,0)))))</f>
      </c>
      <c r="N44" s="43">
        <f>IF(C44="","",IF(NOT(OR(C44="Squat",C44="Bench Press",C44="Deadlift",C44="Overhead Press",C44="Power Clean",C44="Light Squat")),"—",IF(L44&gt;=M44,"OK","STALL")))</f>
      </c>
      <c r="O44" s="43" t="s">
        <v>0</v>
      </c>
      <c r="P44" s="43">
        <f>IF($C44="Squat",$F44,0)</f>
      </c>
      <c r="Q44" s="43">
        <f>IF($C44="Bench Press",$F44,0)</f>
      </c>
      <c r="R44" s="43">
        <f>IF($C44="Deadlift",$F44,0)</f>
      </c>
      <c r="S44" s="43">
        <f>IF($C44="Overhead Press",$F44,0)</f>
      </c>
      <c r="T44" s="43">
        <f>IF($C44="Power Clean",$F44,0)</f>
      </c>
    </row>
    <row r="45" spans="1:20" x14ac:dyDescent="0.25">
      <c r="A45" s="28" t="s">
        <v>0</v>
      </c>
      <c r="B45" s="28" t="s">
        <v>0</v>
      </c>
      <c r="C45" s="28" t="s">
        <v>0</v>
      </c>
      <c r="D45" s="43">
        <f>IF(C45="","",IF(OR(C45="Squat",C45="Bench Press",C45="Overhead Press",C45="Light Squat"),"3x5",IF(C45="Deadlift","1x5",IF(C45="Power Clean","5x3","3x10"))))</f>
      </c>
      <c r="E45" s="43">
        <f>IF(C45="","",IF(NOT(OR(C45="Squat",C45="Bench Press",C45="Deadlift",C45="Overhead Press",C45="Power Clean",C45="Light Squat")),"—",IF(C45="Light Squat",IF(COUNTIF(C$10:C44,"Light Squat")=0,ROUND(SUMPRODUCT(MAX((C$10:C44="Squat")*(N$10:N44="OK")*(F$10:F44)))*Settings!$B$37/100/5,0)*5,IF(SUMPRODUCT((C$10:C44="Light Squat")*(N$10:N44="OK")*1)=0,ROUND(SUMPRODUCT(MAX((C$10:C44="Squat")*(N$10:N44="OK")*(F$10:F44)))*Settings!$B$37/100/5,0)*5,SUMPRODUCT(MAX((C$10:C44="Light Squat")*(N$10:N44="OK")*(F$10:F44)))+Settings!$B$38)),IF(SUMPRODUCT((C$10:C44=C45)*(N$10:N44="OK")*1)=0,IF(C45="Squat",Settings!$B$5,IF(C45="Bench Press",Settings!$B$6,IF(C45="Deadlift",Settings!$B$7,IF(C45="Overhead Press",Settings!$B$8,IF(C45="Power Clean",Settings!$B$9,0))))),SUMPRODUCT(MAX((C$10:C44=C45)*(N$10:N44="OK")*(F$10:F44)))+IF(C45="Squat",Settings!$B$12,IF(C45="Bench Press",Settings!$B$13,IF(C45="Deadlift",Settings!$B$14,IF(C45="Overhead Press",Settings!$B$15,IF(C45="Power Clean",Settings!$B$16,0)))))))))</f>
      </c>
      <c r="F45" s="28" t="s">
        <v>0</v>
      </c>
      <c r="G45" s="28" t="s">
        <v>0</v>
      </c>
      <c r="H45" s="28" t="s">
        <v>0</v>
      </c>
      <c r="I45" s="28" t="s">
        <v>0</v>
      </c>
      <c r="J45" s="44" t="s">
        <v>0</v>
      </c>
      <c r="K45" s="44" t="s">
        <v>0</v>
      </c>
      <c r="L45" s="43">
        <f>IF(C45="","",SUM(G45:K45))</f>
      </c>
      <c r="M45" s="43">
        <f>IF(C45="","",IF(NOT(OR(C45="Squat",C45="Bench Press",C45="Deadlift",C45="Overhead Press",C45="Power Clean",C45="Light Squat")),30,IF(OR(C45="Squat",C45="Bench Press",C45="Overhead Press",C45="Light Squat"),15,IF(C45="Deadlift",5,IF(C45="Power Clean",15,0)))))</f>
      </c>
      <c r="N45" s="43">
        <f>IF(C45="","",IF(NOT(OR(C45="Squat",C45="Bench Press",C45="Deadlift",C45="Overhead Press",C45="Power Clean",C45="Light Squat")),"—",IF(L45&gt;=M45,"OK","STALL")))</f>
      </c>
      <c r="O45" s="43" t="s">
        <v>0</v>
      </c>
      <c r="P45" s="43">
        <f>IF($C45="Squat",$F45,0)</f>
      </c>
      <c r="Q45" s="43">
        <f>IF($C45="Bench Press",$F45,0)</f>
      </c>
      <c r="R45" s="43">
        <f>IF($C45="Deadlift",$F45,0)</f>
      </c>
      <c r="S45" s="43">
        <f>IF($C45="Overhead Press",$F45,0)</f>
      </c>
      <c r="T45" s="43">
        <f>IF($C45="Power Clean",$F45,0)</f>
      </c>
    </row>
    <row r="46" spans="1:20" x14ac:dyDescent="0.25">
      <c r="A46" s="28" t="s">
        <v>0</v>
      </c>
      <c r="B46" s="28" t="s">
        <v>0</v>
      </c>
      <c r="C46" s="28" t="s">
        <v>0</v>
      </c>
      <c r="D46" s="43">
        <f>IF(C46="","",IF(OR(C46="Squat",C46="Bench Press",C46="Overhead Press",C46="Light Squat"),"3x5",IF(C46="Deadlift","1x5",IF(C46="Power Clean","5x3","3x10"))))</f>
      </c>
      <c r="E46" s="43">
        <f>IF(C46="","",IF(NOT(OR(C46="Squat",C46="Bench Press",C46="Deadlift",C46="Overhead Press",C46="Power Clean",C46="Light Squat")),"—",IF(C46="Light Squat",IF(COUNTIF(C$10:C45,"Light Squat")=0,ROUND(SUMPRODUCT(MAX((C$10:C45="Squat")*(N$10:N45="OK")*(F$10:F45)))*Settings!$B$37/100/5,0)*5,IF(SUMPRODUCT((C$10:C45="Light Squat")*(N$10:N45="OK")*1)=0,ROUND(SUMPRODUCT(MAX((C$10:C45="Squat")*(N$10:N45="OK")*(F$10:F45)))*Settings!$B$37/100/5,0)*5,SUMPRODUCT(MAX((C$10:C45="Light Squat")*(N$10:N45="OK")*(F$10:F45)))+Settings!$B$38)),IF(SUMPRODUCT((C$10:C45=C46)*(N$10:N45="OK")*1)=0,IF(C46="Squat",Settings!$B$5,IF(C46="Bench Press",Settings!$B$6,IF(C46="Deadlift",Settings!$B$7,IF(C46="Overhead Press",Settings!$B$8,IF(C46="Power Clean",Settings!$B$9,0))))),SUMPRODUCT(MAX((C$10:C45=C46)*(N$10:N45="OK")*(F$10:F45)))+IF(C46="Squat",Settings!$B$12,IF(C46="Bench Press",Settings!$B$13,IF(C46="Deadlift",Settings!$B$14,IF(C46="Overhead Press",Settings!$B$15,IF(C46="Power Clean",Settings!$B$16,0)))))))))</f>
      </c>
      <c r="F46" s="28" t="s">
        <v>0</v>
      </c>
      <c r="G46" s="28" t="s">
        <v>0</v>
      </c>
      <c r="H46" s="28" t="s">
        <v>0</v>
      </c>
      <c r="I46" s="28" t="s">
        <v>0</v>
      </c>
      <c r="J46" s="44" t="s">
        <v>0</v>
      </c>
      <c r="K46" s="44" t="s">
        <v>0</v>
      </c>
      <c r="L46" s="43">
        <f>IF(C46="","",SUM(G46:K46))</f>
      </c>
      <c r="M46" s="43">
        <f>IF(C46="","",IF(NOT(OR(C46="Squat",C46="Bench Press",C46="Deadlift",C46="Overhead Press",C46="Power Clean",C46="Light Squat")),30,IF(OR(C46="Squat",C46="Bench Press",C46="Overhead Press",C46="Light Squat"),15,IF(C46="Deadlift",5,IF(C46="Power Clean",15,0)))))</f>
      </c>
      <c r="N46" s="43">
        <f>IF(C46="","",IF(NOT(OR(C46="Squat",C46="Bench Press",C46="Deadlift",C46="Overhead Press",C46="Power Clean",C46="Light Squat")),"—",IF(L46&gt;=M46,"OK","STALL")))</f>
      </c>
      <c r="O46" s="43" t="s">
        <v>0</v>
      </c>
      <c r="P46" s="43">
        <f>IF($C46="Squat",$F46,0)</f>
      </c>
      <c r="Q46" s="43">
        <f>IF($C46="Bench Press",$F46,0)</f>
      </c>
      <c r="R46" s="43">
        <f>IF($C46="Deadlift",$F46,0)</f>
      </c>
      <c r="S46" s="43">
        <f>IF($C46="Overhead Press",$F46,0)</f>
      </c>
      <c r="T46" s="43">
        <f>IF($C46="Power Clean",$F46,0)</f>
      </c>
    </row>
    <row r="47" spans="1:20" x14ac:dyDescent="0.25">
      <c r="A47" s="28" t="s">
        <v>0</v>
      </c>
      <c r="B47" s="28" t="s">
        <v>0</v>
      </c>
      <c r="C47" s="28" t="s">
        <v>0</v>
      </c>
      <c r="D47" s="43">
        <f>IF(C47="","",IF(OR(C47="Squat",C47="Bench Press",C47="Overhead Press",C47="Light Squat"),"3x5",IF(C47="Deadlift","1x5",IF(C47="Power Clean","5x3","3x10"))))</f>
      </c>
      <c r="E47" s="43">
        <f>IF(C47="","",IF(NOT(OR(C47="Squat",C47="Bench Press",C47="Deadlift",C47="Overhead Press",C47="Power Clean",C47="Light Squat")),"—",IF(C47="Light Squat",IF(COUNTIF(C$10:C46,"Light Squat")=0,ROUND(SUMPRODUCT(MAX((C$10:C46="Squat")*(N$10:N46="OK")*(F$10:F46)))*Settings!$B$37/100/5,0)*5,IF(SUMPRODUCT((C$10:C46="Light Squat")*(N$10:N46="OK")*1)=0,ROUND(SUMPRODUCT(MAX((C$10:C46="Squat")*(N$10:N46="OK")*(F$10:F46)))*Settings!$B$37/100/5,0)*5,SUMPRODUCT(MAX((C$10:C46="Light Squat")*(N$10:N46="OK")*(F$10:F46)))+Settings!$B$38)),IF(SUMPRODUCT((C$10:C46=C47)*(N$10:N46="OK")*1)=0,IF(C47="Squat",Settings!$B$5,IF(C47="Bench Press",Settings!$B$6,IF(C47="Deadlift",Settings!$B$7,IF(C47="Overhead Press",Settings!$B$8,IF(C47="Power Clean",Settings!$B$9,0))))),SUMPRODUCT(MAX((C$10:C46=C47)*(N$10:N46="OK")*(F$10:F46)))+IF(C47="Squat",Settings!$B$12,IF(C47="Bench Press",Settings!$B$13,IF(C47="Deadlift",Settings!$B$14,IF(C47="Overhead Press",Settings!$B$15,IF(C47="Power Clean",Settings!$B$16,0)))))))))</f>
      </c>
      <c r="F47" s="28" t="s">
        <v>0</v>
      </c>
      <c r="G47" s="28" t="s">
        <v>0</v>
      </c>
      <c r="H47" s="28" t="s">
        <v>0</v>
      </c>
      <c r="I47" s="28" t="s">
        <v>0</v>
      </c>
      <c r="J47" s="44" t="s">
        <v>0</v>
      </c>
      <c r="K47" s="44" t="s">
        <v>0</v>
      </c>
      <c r="L47" s="43">
        <f>IF(C47="","",SUM(G47:K47))</f>
      </c>
      <c r="M47" s="43">
        <f>IF(C47="","",IF(NOT(OR(C47="Squat",C47="Bench Press",C47="Deadlift",C47="Overhead Press",C47="Power Clean",C47="Light Squat")),30,IF(OR(C47="Squat",C47="Bench Press",C47="Overhead Press",C47="Light Squat"),15,IF(C47="Deadlift",5,IF(C47="Power Clean",15,0)))))</f>
      </c>
      <c r="N47" s="43">
        <f>IF(C47="","",IF(NOT(OR(C47="Squat",C47="Bench Press",C47="Deadlift",C47="Overhead Press",C47="Power Clean",C47="Light Squat")),"—",IF(L47&gt;=M47,"OK","STALL")))</f>
      </c>
      <c r="O47" s="43" t="s">
        <v>0</v>
      </c>
      <c r="P47" s="43">
        <f>IF($C47="Squat",$F47,0)</f>
      </c>
      <c r="Q47" s="43">
        <f>IF($C47="Bench Press",$F47,0)</f>
      </c>
      <c r="R47" s="43">
        <f>IF($C47="Deadlift",$F47,0)</f>
      </c>
      <c r="S47" s="43">
        <f>IF($C47="Overhead Press",$F47,0)</f>
      </c>
      <c r="T47" s="43">
        <f>IF($C47="Power Clean",$F47,0)</f>
      </c>
    </row>
    <row r="48" spans="1:20" x14ac:dyDescent="0.25">
      <c r="A48" s="28" t="s">
        <v>0</v>
      </c>
      <c r="B48" s="28" t="s">
        <v>0</v>
      </c>
      <c r="C48" s="28" t="s">
        <v>0</v>
      </c>
      <c r="D48" s="43">
        <f>IF(C48="","",IF(OR(C48="Squat",C48="Bench Press",C48="Overhead Press",C48="Light Squat"),"3x5",IF(C48="Deadlift","1x5",IF(C48="Power Clean","5x3","3x10"))))</f>
      </c>
      <c r="E48" s="43">
        <f>IF(C48="","",IF(NOT(OR(C48="Squat",C48="Bench Press",C48="Deadlift",C48="Overhead Press",C48="Power Clean",C48="Light Squat")),"—",IF(C48="Light Squat",IF(COUNTIF(C$10:C47,"Light Squat")=0,ROUND(SUMPRODUCT(MAX((C$10:C47="Squat")*(N$10:N47="OK")*(F$10:F47)))*Settings!$B$37/100/5,0)*5,IF(SUMPRODUCT((C$10:C47="Light Squat")*(N$10:N47="OK")*1)=0,ROUND(SUMPRODUCT(MAX((C$10:C47="Squat")*(N$10:N47="OK")*(F$10:F47)))*Settings!$B$37/100/5,0)*5,SUMPRODUCT(MAX((C$10:C47="Light Squat")*(N$10:N47="OK")*(F$10:F47)))+Settings!$B$38)),IF(SUMPRODUCT((C$10:C47=C48)*(N$10:N47="OK")*1)=0,IF(C48="Squat",Settings!$B$5,IF(C48="Bench Press",Settings!$B$6,IF(C48="Deadlift",Settings!$B$7,IF(C48="Overhead Press",Settings!$B$8,IF(C48="Power Clean",Settings!$B$9,0))))),SUMPRODUCT(MAX((C$10:C47=C48)*(N$10:N47="OK")*(F$10:F47)))+IF(C48="Squat",Settings!$B$12,IF(C48="Bench Press",Settings!$B$13,IF(C48="Deadlift",Settings!$B$14,IF(C48="Overhead Press",Settings!$B$15,IF(C48="Power Clean",Settings!$B$16,0)))))))))</f>
      </c>
      <c r="F48" s="28" t="s">
        <v>0</v>
      </c>
      <c r="G48" s="28" t="s">
        <v>0</v>
      </c>
      <c r="H48" s="28" t="s">
        <v>0</v>
      </c>
      <c r="I48" s="28" t="s">
        <v>0</v>
      </c>
      <c r="J48" s="44" t="s">
        <v>0</v>
      </c>
      <c r="K48" s="44" t="s">
        <v>0</v>
      </c>
      <c r="L48" s="43">
        <f>IF(C48="","",SUM(G48:K48))</f>
      </c>
      <c r="M48" s="43">
        <f>IF(C48="","",IF(NOT(OR(C48="Squat",C48="Bench Press",C48="Deadlift",C48="Overhead Press",C48="Power Clean",C48="Light Squat")),30,IF(OR(C48="Squat",C48="Bench Press",C48="Overhead Press",C48="Light Squat"),15,IF(C48="Deadlift",5,IF(C48="Power Clean",15,0)))))</f>
      </c>
      <c r="N48" s="43">
        <f>IF(C48="","",IF(NOT(OR(C48="Squat",C48="Bench Press",C48="Deadlift",C48="Overhead Press",C48="Power Clean",C48="Light Squat")),"—",IF(L48&gt;=M48,"OK","STALL")))</f>
      </c>
      <c r="O48" s="43" t="s">
        <v>0</v>
      </c>
      <c r="P48" s="43">
        <f>IF($C48="Squat",$F48,0)</f>
      </c>
      <c r="Q48" s="43">
        <f>IF($C48="Bench Press",$F48,0)</f>
      </c>
      <c r="R48" s="43">
        <f>IF($C48="Deadlift",$F48,0)</f>
      </c>
      <c r="S48" s="43">
        <f>IF($C48="Overhead Press",$F48,0)</f>
      </c>
      <c r="T48" s="43">
        <f>IF($C48="Power Clean",$F48,0)</f>
      </c>
    </row>
    <row r="49" spans="1:20" x14ac:dyDescent="0.25">
      <c r="A49" s="28" t="s">
        <v>0</v>
      </c>
      <c r="B49" s="28" t="s">
        <v>0</v>
      </c>
      <c r="C49" s="28" t="s">
        <v>0</v>
      </c>
      <c r="D49" s="43">
        <f>IF(C49="","",IF(OR(C49="Squat",C49="Bench Press",C49="Overhead Press",C49="Light Squat"),"3x5",IF(C49="Deadlift","1x5",IF(C49="Power Clean","5x3","3x10"))))</f>
      </c>
      <c r="E49" s="43">
        <f>IF(C49="","",IF(NOT(OR(C49="Squat",C49="Bench Press",C49="Deadlift",C49="Overhead Press",C49="Power Clean",C49="Light Squat")),"—",IF(C49="Light Squat",IF(COUNTIF(C$10:C48,"Light Squat")=0,ROUND(SUMPRODUCT(MAX((C$10:C48="Squat")*(N$10:N48="OK")*(F$10:F48)))*Settings!$B$37/100/5,0)*5,IF(SUMPRODUCT((C$10:C48="Light Squat")*(N$10:N48="OK")*1)=0,ROUND(SUMPRODUCT(MAX((C$10:C48="Squat")*(N$10:N48="OK")*(F$10:F48)))*Settings!$B$37/100/5,0)*5,SUMPRODUCT(MAX((C$10:C48="Light Squat")*(N$10:N48="OK")*(F$10:F48)))+Settings!$B$38)),IF(SUMPRODUCT((C$10:C48=C49)*(N$10:N48="OK")*1)=0,IF(C49="Squat",Settings!$B$5,IF(C49="Bench Press",Settings!$B$6,IF(C49="Deadlift",Settings!$B$7,IF(C49="Overhead Press",Settings!$B$8,IF(C49="Power Clean",Settings!$B$9,0))))),SUMPRODUCT(MAX((C$10:C48=C49)*(N$10:N48="OK")*(F$10:F48)))+IF(C49="Squat",Settings!$B$12,IF(C49="Bench Press",Settings!$B$13,IF(C49="Deadlift",Settings!$B$14,IF(C49="Overhead Press",Settings!$B$15,IF(C49="Power Clean",Settings!$B$16,0)))))))))</f>
      </c>
      <c r="F49" s="28" t="s">
        <v>0</v>
      </c>
      <c r="G49" s="28" t="s">
        <v>0</v>
      </c>
      <c r="H49" s="28" t="s">
        <v>0</v>
      </c>
      <c r="I49" s="28" t="s">
        <v>0</v>
      </c>
      <c r="J49" s="44" t="s">
        <v>0</v>
      </c>
      <c r="K49" s="44" t="s">
        <v>0</v>
      </c>
      <c r="L49" s="43">
        <f>IF(C49="","",SUM(G49:K49))</f>
      </c>
      <c r="M49" s="43">
        <f>IF(C49="","",IF(NOT(OR(C49="Squat",C49="Bench Press",C49="Deadlift",C49="Overhead Press",C49="Power Clean",C49="Light Squat")),30,IF(OR(C49="Squat",C49="Bench Press",C49="Overhead Press",C49="Light Squat"),15,IF(C49="Deadlift",5,IF(C49="Power Clean",15,0)))))</f>
      </c>
      <c r="N49" s="43">
        <f>IF(C49="","",IF(NOT(OR(C49="Squat",C49="Bench Press",C49="Deadlift",C49="Overhead Press",C49="Power Clean",C49="Light Squat")),"—",IF(L49&gt;=M49,"OK","STALL")))</f>
      </c>
      <c r="O49" s="43" t="s">
        <v>0</v>
      </c>
      <c r="P49" s="43">
        <f>IF($C49="Squat",$F49,0)</f>
      </c>
      <c r="Q49" s="43">
        <f>IF($C49="Bench Press",$F49,0)</f>
      </c>
      <c r="R49" s="43">
        <f>IF($C49="Deadlift",$F49,0)</f>
      </c>
      <c r="S49" s="43">
        <f>IF($C49="Overhead Press",$F49,0)</f>
      </c>
      <c r="T49" s="43">
        <f>IF($C49="Power Clean",$F49,0)</f>
      </c>
    </row>
    <row r="50" spans="1:20" x14ac:dyDescent="0.25">
      <c r="A50" s="28" t="s">
        <v>0</v>
      </c>
      <c r="B50" s="28" t="s">
        <v>0</v>
      </c>
      <c r="C50" s="28" t="s">
        <v>0</v>
      </c>
      <c r="D50" s="43">
        <f>IF(C50="","",IF(OR(C50="Squat",C50="Bench Press",C50="Overhead Press",C50="Light Squat"),"3x5",IF(C50="Deadlift","1x5",IF(C50="Power Clean","5x3","3x10"))))</f>
      </c>
      <c r="E50" s="43">
        <f>IF(C50="","",IF(NOT(OR(C50="Squat",C50="Bench Press",C50="Deadlift",C50="Overhead Press",C50="Power Clean",C50="Light Squat")),"—",IF(C50="Light Squat",IF(COUNTIF(C$10:C49,"Light Squat")=0,ROUND(SUMPRODUCT(MAX((C$10:C49="Squat")*(N$10:N49="OK")*(F$10:F49)))*Settings!$B$37/100/5,0)*5,IF(SUMPRODUCT((C$10:C49="Light Squat")*(N$10:N49="OK")*1)=0,ROUND(SUMPRODUCT(MAX((C$10:C49="Squat")*(N$10:N49="OK")*(F$10:F49)))*Settings!$B$37/100/5,0)*5,SUMPRODUCT(MAX((C$10:C49="Light Squat")*(N$10:N49="OK")*(F$10:F49)))+Settings!$B$38)),IF(SUMPRODUCT((C$10:C49=C50)*(N$10:N49="OK")*1)=0,IF(C50="Squat",Settings!$B$5,IF(C50="Bench Press",Settings!$B$6,IF(C50="Deadlift",Settings!$B$7,IF(C50="Overhead Press",Settings!$B$8,IF(C50="Power Clean",Settings!$B$9,0))))),SUMPRODUCT(MAX((C$10:C49=C50)*(N$10:N49="OK")*(F$10:F49)))+IF(C50="Squat",Settings!$B$12,IF(C50="Bench Press",Settings!$B$13,IF(C50="Deadlift",Settings!$B$14,IF(C50="Overhead Press",Settings!$B$15,IF(C50="Power Clean",Settings!$B$16,0)))))))))</f>
      </c>
      <c r="F50" s="28" t="s">
        <v>0</v>
      </c>
      <c r="G50" s="28" t="s">
        <v>0</v>
      </c>
      <c r="H50" s="28" t="s">
        <v>0</v>
      </c>
      <c r="I50" s="28" t="s">
        <v>0</v>
      </c>
      <c r="J50" s="44" t="s">
        <v>0</v>
      </c>
      <c r="K50" s="44" t="s">
        <v>0</v>
      </c>
      <c r="L50" s="43">
        <f>IF(C50="","",SUM(G50:K50))</f>
      </c>
      <c r="M50" s="43">
        <f>IF(C50="","",IF(NOT(OR(C50="Squat",C50="Bench Press",C50="Deadlift",C50="Overhead Press",C50="Power Clean",C50="Light Squat")),30,IF(OR(C50="Squat",C50="Bench Press",C50="Overhead Press",C50="Light Squat"),15,IF(C50="Deadlift",5,IF(C50="Power Clean",15,0)))))</f>
      </c>
      <c r="N50" s="43">
        <f>IF(C50="","",IF(NOT(OR(C50="Squat",C50="Bench Press",C50="Deadlift",C50="Overhead Press",C50="Power Clean",C50="Light Squat")),"—",IF(L50&gt;=M50,"OK","STALL")))</f>
      </c>
      <c r="O50" s="43" t="s">
        <v>0</v>
      </c>
      <c r="P50" s="43">
        <f>IF($C50="Squat",$F50,0)</f>
      </c>
      <c r="Q50" s="43">
        <f>IF($C50="Bench Press",$F50,0)</f>
      </c>
      <c r="R50" s="43">
        <f>IF($C50="Deadlift",$F50,0)</f>
      </c>
      <c r="S50" s="43">
        <f>IF($C50="Overhead Press",$F50,0)</f>
      </c>
      <c r="T50" s="43">
        <f>IF($C50="Power Clean",$F50,0)</f>
      </c>
    </row>
    <row r="51" spans="1:20" x14ac:dyDescent="0.25">
      <c r="A51" s="28" t="s">
        <v>0</v>
      </c>
      <c r="B51" s="28" t="s">
        <v>0</v>
      </c>
      <c r="C51" s="28" t="s">
        <v>0</v>
      </c>
      <c r="D51" s="43">
        <f>IF(C51="","",IF(OR(C51="Squat",C51="Bench Press",C51="Overhead Press",C51="Light Squat"),"3x5",IF(C51="Deadlift","1x5",IF(C51="Power Clean","5x3","3x10"))))</f>
      </c>
      <c r="E51" s="43">
        <f>IF(C51="","",IF(NOT(OR(C51="Squat",C51="Bench Press",C51="Deadlift",C51="Overhead Press",C51="Power Clean",C51="Light Squat")),"—",IF(C51="Light Squat",IF(COUNTIF(C$10:C50,"Light Squat")=0,ROUND(SUMPRODUCT(MAX((C$10:C50="Squat")*(N$10:N50="OK")*(F$10:F50)))*Settings!$B$37/100/5,0)*5,IF(SUMPRODUCT((C$10:C50="Light Squat")*(N$10:N50="OK")*1)=0,ROUND(SUMPRODUCT(MAX((C$10:C50="Squat")*(N$10:N50="OK")*(F$10:F50)))*Settings!$B$37/100/5,0)*5,SUMPRODUCT(MAX((C$10:C50="Light Squat")*(N$10:N50="OK")*(F$10:F50)))+Settings!$B$38)),IF(SUMPRODUCT((C$10:C50=C51)*(N$10:N50="OK")*1)=0,IF(C51="Squat",Settings!$B$5,IF(C51="Bench Press",Settings!$B$6,IF(C51="Deadlift",Settings!$B$7,IF(C51="Overhead Press",Settings!$B$8,IF(C51="Power Clean",Settings!$B$9,0))))),SUMPRODUCT(MAX((C$10:C50=C51)*(N$10:N50="OK")*(F$10:F50)))+IF(C51="Squat",Settings!$B$12,IF(C51="Bench Press",Settings!$B$13,IF(C51="Deadlift",Settings!$B$14,IF(C51="Overhead Press",Settings!$B$15,IF(C51="Power Clean",Settings!$B$16,0)))))))))</f>
      </c>
      <c r="F51" s="28" t="s">
        <v>0</v>
      </c>
      <c r="G51" s="28" t="s">
        <v>0</v>
      </c>
      <c r="H51" s="28" t="s">
        <v>0</v>
      </c>
      <c r="I51" s="28" t="s">
        <v>0</v>
      </c>
      <c r="J51" s="44" t="s">
        <v>0</v>
      </c>
      <c r="K51" s="44" t="s">
        <v>0</v>
      </c>
      <c r="L51" s="43">
        <f>IF(C51="","",SUM(G51:K51))</f>
      </c>
      <c r="M51" s="43">
        <f>IF(C51="","",IF(NOT(OR(C51="Squat",C51="Bench Press",C51="Deadlift",C51="Overhead Press",C51="Power Clean",C51="Light Squat")),30,IF(OR(C51="Squat",C51="Bench Press",C51="Overhead Press",C51="Light Squat"),15,IF(C51="Deadlift",5,IF(C51="Power Clean",15,0)))))</f>
      </c>
      <c r="N51" s="43">
        <f>IF(C51="","",IF(NOT(OR(C51="Squat",C51="Bench Press",C51="Deadlift",C51="Overhead Press",C51="Power Clean",C51="Light Squat")),"—",IF(L51&gt;=M51,"OK","STALL")))</f>
      </c>
      <c r="O51" s="43" t="s">
        <v>0</v>
      </c>
      <c r="P51" s="43">
        <f>IF($C51="Squat",$F51,0)</f>
      </c>
      <c r="Q51" s="43">
        <f>IF($C51="Bench Press",$F51,0)</f>
      </c>
      <c r="R51" s="43">
        <f>IF($C51="Deadlift",$F51,0)</f>
      </c>
      <c r="S51" s="43">
        <f>IF($C51="Overhead Press",$F51,0)</f>
      </c>
      <c r="T51" s="43">
        <f>IF($C51="Power Clean",$F51,0)</f>
      </c>
    </row>
    <row r="52" spans="1:20" x14ac:dyDescent="0.25">
      <c r="A52" s="28" t="s">
        <v>0</v>
      </c>
      <c r="B52" s="28" t="s">
        <v>0</v>
      </c>
      <c r="C52" s="28" t="s">
        <v>0</v>
      </c>
      <c r="D52" s="43">
        <f>IF(C52="","",IF(OR(C52="Squat",C52="Bench Press",C52="Overhead Press",C52="Light Squat"),"3x5",IF(C52="Deadlift","1x5",IF(C52="Power Clean","5x3","3x10"))))</f>
      </c>
      <c r="E52" s="43">
        <f>IF(C52="","",IF(NOT(OR(C52="Squat",C52="Bench Press",C52="Deadlift",C52="Overhead Press",C52="Power Clean",C52="Light Squat")),"—",IF(C52="Light Squat",IF(COUNTIF(C$10:C51,"Light Squat")=0,ROUND(SUMPRODUCT(MAX((C$10:C51="Squat")*(N$10:N51="OK")*(F$10:F51)))*Settings!$B$37/100/5,0)*5,IF(SUMPRODUCT((C$10:C51="Light Squat")*(N$10:N51="OK")*1)=0,ROUND(SUMPRODUCT(MAX((C$10:C51="Squat")*(N$10:N51="OK")*(F$10:F51)))*Settings!$B$37/100/5,0)*5,SUMPRODUCT(MAX((C$10:C51="Light Squat")*(N$10:N51="OK")*(F$10:F51)))+Settings!$B$38)),IF(SUMPRODUCT((C$10:C51=C52)*(N$10:N51="OK")*1)=0,IF(C52="Squat",Settings!$B$5,IF(C52="Bench Press",Settings!$B$6,IF(C52="Deadlift",Settings!$B$7,IF(C52="Overhead Press",Settings!$B$8,IF(C52="Power Clean",Settings!$B$9,0))))),SUMPRODUCT(MAX((C$10:C51=C52)*(N$10:N51="OK")*(F$10:F51)))+IF(C52="Squat",Settings!$B$12,IF(C52="Bench Press",Settings!$B$13,IF(C52="Deadlift",Settings!$B$14,IF(C52="Overhead Press",Settings!$B$15,IF(C52="Power Clean",Settings!$B$16,0)))))))))</f>
      </c>
      <c r="F52" s="28" t="s">
        <v>0</v>
      </c>
      <c r="G52" s="28" t="s">
        <v>0</v>
      </c>
      <c r="H52" s="28" t="s">
        <v>0</v>
      </c>
      <c r="I52" s="28" t="s">
        <v>0</v>
      </c>
      <c r="J52" s="44" t="s">
        <v>0</v>
      </c>
      <c r="K52" s="44" t="s">
        <v>0</v>
      </c>
      <c r="L52" s="43">
        <f>IF(C52="","",SUM(G52:K52))</f>
      </c>
      <c r="M52" s="43">
        <f>IF(C52="","",IF(NOT(OR(C52="Squat",C52="Bench Press",C52="Deadlift",C52="Overhead Press",C52="Power Clean",C52="Light Squat")),30,IF(OR(C52="Squat",C52="Bench Press",C52="Overhead Press",C52="Light Squat"),15,IF(C52="Deadlift",5,IF(C52="Power Clean",15,0)))))</f>
      </c>
      <c r="N52" s="43">
        <f>IF(C52="","",IF(NOT(OR(C52="Squat",C52="Bench Press",C52="Deadlift",C52="Overhead Press",C52="Power Clean",C52="Light Squat")),"—",IF(L52&gt;=M52,"OK","STALL")))</f>
      </c>
      <c r="O52" s="43" t="s">
        <v>0</v>
      </c>
      <c r="P52" s="43">
        <f>IF($C52="Squat",$F52,0)</f>
      </c>
      <c r="Q52" s="43">
        <f>IF($C52="Bench Press",$F52,0)</f>
      </c>
      <c r="R52" s="43">
        <f>IF($C52="Deadlift",$F52,0)</f>
      </c>
      <c r="S52" s="43">
        <f>IF($C52="Overhead Press",$F52,0)</f>
      </c>
      <c r="T52" s="43">
        <f>IF($C52="Power Clean",$F52,0)</f>
      </c>
    </row>
    <row r="53" spans="1:20" x14ac:dyDescent="0.25">
      <c r="A53" s="28" t="s">
        <v>0</v>
      </c>
      <c r="B53" s="28" t="s">
        <v>0</v>
      </c>
      <c r="C53" s="28" t="s">
        <v>0</v>
      </c>
      <c r="D53" s="43">
        <f>IF(C53="","",IF(OR(C53="Squat",C53="Bench Press",C53="Overhead Press",C53="Light Squat"),"3x5",IF(C53="Deadlift","1x5",IF(C53="Power Clean","5x3","3x10"))))</f>
      </c>
      <c r="E53" s="43">
        <f>IF(C53="","",IF(NOT(OR(C53="Squat",C53="Bench Press",C53="Deadlift",C53="Overhead Press",C53="Power Clean",C53="Light Squat")),"—",IF(C53="Light Squat",IF(COUNTIF(C$10:C52,"Light Squat")=0,ROUND(SUMPRODUCT(MAX((C$10:C52="Squat")*(N$10:N52="OK")*(F$10:F52)))*Settings!$B$37/100/5,0)*5,IF(SUMPRODUCT((C$10:C52="Light Squat")*(N$10:N52="OK")*1)=0,ROUND(SUMPRODUCT(MAX((C$10:C52="Squat")*(N$10:N52="OK")*(F$10:F52)))*Settings!$B$37/100/5,0)*5,SUMPRODUCT(MAX((C$10:C52="Light Squat")*(N$10:N52="OK")*(F$10:F52)))+Settings!$B$38)),IF(SUMPRODUCT((C$10:C52=C53)*(N$10:N52="OK")*1)=0,IF(C53="Squat",Settings!$B$5,IF(C53="Bench Press",Settings!$B$6,IF(C53="Deadlift",Settings!$B$7,IF(C53="Overhead Press",Settings!$B$8,IF(C53="Power Clean",Settings!$B$9,0))))),SUMPRODUCT(MAX((C$10:C52=C53)*(N$10:N52="OK")*(F$10:F52)))+IF(C53="Squat",Settings!$B$12,IF(C53="Bench Press",Settings!$B$13,IF(C53="Deadlift",Settings!$B$14,IF(C53="Overhead Press",Settings!$B$15,IF(C53="Power Clean",Settings!$B$16,0)))))))))</f>
      </c>
      <c r="F53" s="28" t="s">
        <v>0</v>
      </c>
      <c r="G53" s="28" t="s">
        <v>0</v>
      </c>
      <c r="H53" s="28" t="s">
        <v>0</v>
      </c>
      <c r="I53" s="28" t="s">
        <v>0</v>
      </c>
      <c r="J53" s="44" t="s">
        <v>0</v>
      </c>
      <c r="K53" s="44" t="s">
        <v>0</v>
      </c>
      <c r="L53" s="43">
        <f>IF(C53="","",SUM(G53:K53))</f>
      </c>
      <c r="M53" s="43">
        <f>IF(C53="","",IF(NOT(OR(C53="Squat",C53="Bench Press",C53="Deadlift",C53="Overhead Press",C53="Power Clean",C53="Light Squat")),30,IF(OR(C53="Squat",C53="Bench Press",C53="Overhead Press",C53="Light Squat"),15,IF(C53="Deadlift",5,IF(C53="Power Clean",15,0)))))</f>
      </c>
      <c r="N53" s="43">
        <f>IF(C53="","",IF(NOT(OR(C53="Squat",C53="Bench Press",C53="Deadlift",C53="Overhead Press",C53="Power Clean",C53="Light Squat")),"—",IF(L53&gt;=M53,"OK","STALL")))</f>
      </c>
      <c r="O53" s="43" t="s">
        <v>0</v>
      </c>
      <c r="P53" s="43">
        <f>IF($C53="Squat",$F53,0)</f>
      </c>
      <c r="Q53" s="43">
        <f>IF($C53="Bench Press",$F53,0)</f>
      </c>
      <c r="R53" s="43">
        <f>IF($C53="Deadlift",$F53,0)</f>
      </c>
      <c r="S53" s="43">
        <f>IF($C53="Overhead Press",$F53,0)</f>
      </c>
      <c r="T53" s="43">
        <f>IF($C53="Power Clean",$F53,0)</f>
      </c>
    </row>
    <row r="54" spans="1:20" x14ac:dyDescent="0.25">
      <c r="A54" s="28" t="s">
        <v>0</v>
      </c>
      <c r="B54" s="28" t="s">
        <v>0</v>
      </c>
      <c r="C54" s="28" t="s">
        <v>0</v>
      </c>
      <c r="D54" s="43">
        <f>IF(C54="","",IF(OR(C54="Squat",C54="Bench Press",C54="Overhead Press",C54="Light Squat"),"3x5",IF(C54="Deadlift","1x5",IF(C54="Power Clean","5x3","3x10"))))</f>
      </c>
      <c r="E54" s="43">
        <f>IF(C54="","",IF(NOT(OR(C54="Squat",C54="Bench Press",C54="Deadlift",C54="Overhead Press",C54="Power Clean",C54="Light Squat")),"—",IF(C54="Light Squat",IF(COUNTIF(C$10:C53,"Light Squat")=0,ROUND(SUMPRODUCT(MAX((C$10:C53="Squat")*(N$10:N53="OK")*(F$10:F53)))*Settings!$B$37/100/5,0)*5,IF(SUMPRODUCT((C$10:C53="Light Squat")*(N$10:N53="OK")*1)=0,ROUND(SUMPRODUCT(MAX((C$10:C53="Squat")*(N$10:N53="OK")*(F$10:F53)))*Settings!$B$37/100/5,0)*5,SUMPRODUCT(MAX((C$10:C53="Light Squat")*(N$10:N53="OK")*(F$10:F53)))+Settings!$B$38)),IF(SUMPRODUCT((C$10:C53=C54)*(N$10:N53="OK")*1)=0,IF(C54="Squat",Settings!$B$5,IF(C54="Bench Press",Settings!$B$6,IF(C54="Deadlift",Settings!$B$7,IF(C54="Overhead Press",Settings!$B$8,IF(C54="Power Clean",Settings!$B$9,0))))),SUMPRODUCT(MAX((C$10:C53=C54)*(N$10:N53="OK")*(F$10:F53)))+IF(C54="Squat",Settings!$B$12,IF(C54="Bench Press",Settings!$B$13,IF(C54="Deadlift",Settings!$B$14,IF(C54="Overhead Press",Settings!$B$15,IF(C54="Power Clean",Settings!$B$16,0)))))))))</f>
      </c>
      <c r="F54" s="28" t="s">
        <v>0</v>
      </c>
      <c r="G54" s="28" t="s">
        <v>0</v>
      </c>
      <c r="H54" s="28" t="s">
        <v>0</v>
      </c>
      <c r="I54" s="28" t="s">
        <v>0</v>
      </c>
      <c r="J54" s="44" t="s">
        <v>0</v>
      </c>
      <c r="K54" s="44" t="s">
        <v>0</v>
      </c>
      <c r="L54" s="43">
        <f>IF(C54="","",SUM(G54:K54))</f>
      </c>
      <c r="M54" s="43">
        <f>IF(C54="","",IF(NOT(OR(C54="Squat",C54="Bench Press",C54="Deadlift",C54="Overhead Press",C54="Power Clean",C54="Light Squat")),30,IF(OR(C54="Squat",C54="Bench Press",C54="Overhead Press",C54="Light Squat"),15,IF(C54="Deadlift",5,IF(C54="Power Clean",15,0)))))</f>
      </c>
      <c r="N54" s="43">
        <f>IF(C54="","",IF(NOT(OR(C54="Squat",C54="Bench Press",C54="Deadlift",C54="Overhead Press",C54="Power Clean",C54="Light Squat")),"—",IF(L54&gt;=M54,"OK","STALL")))</f>
      </c>
      <c r="O54" s="43" t="s">
        <v>0</v>
      </c>
      <c r="P54" s="43">
        <f>IF($C54="Squat",$F54,0)</f>
      </c>
      <c r="Q54" s="43">
        <f>IF($C54="Bench Press",$F54,0)</f>
      </c>
      <c r="R54" s="43">
        <f>IF($C54="Deadlift",$F54,0)</f>
      </c>
      <c r="S54" s="43">
        <f>IF($C54="Overhead Press",$F54,0)</f>
      </c>
      <c r="T54" s="43">
        <f>IF($C54="Power Clean",$F54,0)</f>
      </c>
    </row>
    <row r="55" spans="1:20" x14ac:dyDescent="0.25">
      <c r="A55" s="28" t="s">
        <v>0</v>
      </c>
      <c r="B55" s="28" t="s">
        <v>0</v>
      </c>
      <c r="C55" s="28" t="s">
        <v>0</v>
      </c>
      <c r="D55" s="43">
        <f>IF(C55="","",IF(OR(C55="Squat",C55="Bench Press",C55="Overhead Press",C55="Light Squat"),"3x5",IF(C55="Deadlift","1x5",IF(C55="Power Clean","5x3","3x10"))))</f>
      </c>
      <c r="E55" s="43">
        <f>IF(C55="","",IF(NOT(OR(C55="Squat",C55="Bench Press",C55="Deadlift",C55="Overhead Press",C55="Power Clean",C55="Light Squat")),"—",IF(C55="Light Squat",IF(COUNTIF(C$10:C54,"Light Squat")=0,ROUND(SUMPRODUCT(MAX((C$10:C54="Squat")*(N$10:N54="OK")*(F$10:F54)))*Settings!$B$37/100/5,0)*5,IF(SUMPRODUCT((C$10:C54="Light Squat")*(N$10:N54="OK")*1)=0,ROUND(SUMPRODUCT(MAX((C$10:C54="Squat")*(N$10:N54="OK")*(F$10:F54)))*Settings!$B$37/100/5,0)*5,SUMPRODUCT(MAX((C$10:C54="Light Squat")*(N$10:N54="OK")*(F$10:F54)))+Settings!$B$38)),IF(SUMPRODUCT((C$10:C54=C55)*(N$10:N54="OK")*1)=0,IF(C55="Squat",Settings!$B$5,IF(C55="Bench Press",Settings!$B$6,IF(C55="Deadlift",Settings!$B$7,IF(C55="Overhead Press",Settings!$B$8,IF(C55="Power Clean",Settings!$B$9,0))))),SUMPRODUCT(MAX((C$10:C54=C55)*(N$10:N54="OK")*(F$10:F54)))+IF(C55="Squat",Settings!$B$12,IF(C55="Bench Press",Settings!$B$13,IF(C55="Deadlift",Settings!$B$14,IF(C55="Overhead Press",Settings!$B$15,IF(C55="Power Clean",Settings!$B$16,0)))))))))</f>
      </c>
      <c r="F55" s="28" t="s">
        <v>0</v>
      </c>
      <c r="G55" s="28" t="s">
        <v>0</v>
      </c>
      <c r="H55" s="28" t="s">
        <v>0</v>
      </c>
      <c r="I55" s="28" t="s">
        <v>0</v>
      </c>
      <c r="J55" s="44" t="s">
        <v>0</v>
      </c>
      <c r="K55" s="44" t="s">
        <v>0</v>
      </c>
      <c r="L55" s="43">
        <f>IF(C55="","",SUM(G55:K55))</f>
      </c>
      <c r="M55" s="43">
        <f>IF(C55="","",IF(NOT(OR(C55="Squat",C55="Bench Press",C55="Deadlift",C55="Overhead Press",C55="Power Clean",C55="Light Squat")),30,IF(OR(C55="Squat",C55="Bench Press",C55="Overhead Press",C55="Light Squat"),15,IF(C55="Deadlift",5,IF(C55="Power Clean",15,0)))))</f>
      </c>
      <c r="N55" s="43">
        <f>IF(C55="","",IF(NOT(OR(C55="Squat",C55="Bench Press",C55="Deadlift",C55="Overhead Press",C55="Power Clean",C55="Light Squat")),"—",IF(L55&gt;=M55,"OK","STALL")))</f>
      </c>
      <c r="O55" s="43" t="s">
        <v>0</v>
      </c>
      <c r="P55" s="43">
        <f>IF($C55="Squat",$F55,0)</f>
      </c>
      <c r="Q55" s="43">
        <f>IF($C55="Bench Press",$F55,0)</f>
      </c>
      <c r="R55" s="43">
        <f>IF($C55="Deadlift",$F55,0)</f>
      </c>
      <c r="S55" s="43">
        <f>IF($C55="Overhead Press",$F55,0)</f>
      </c>
      <c r="T55" s="43">
        <f>IF($C55="Power Clean",$F55,0)</f>
      </c>
    </row>
    <row r="56" spans="1:20" x14ac:dyDescent="0.25">
      <c r="A56" s="28" t="s">
        <v>0</v>
      </c>
      <c r="B56" s="28" t="s">
        <v>0</v>
      </c>
      <c r="C56" s="28" t="s">
        <v>0</v>
      </c>
      <c r="D56" s="43">
        <f>IF(C56="","",IF(OR(C56="Squat",C56="Bench Press",C56="Overhead Press",C56="Light Squat"),"3x5",IF(C56="Deadlift","1x5",IF(C56="Power Clean","5x3","3x10"))))</f>
      </c>
      <c r="E56" s="43">
        <f>IF(C56="","",IF(NOT(OR(C56="Squat",C56="Bench Press",C56="Deadlift",C56="Overhead Press",C56="Power Clean",C56="Light Squat")),"—",IF(C56="Light Squat",IF(COUNTIF(C$10:C55,"Light Squat")=0,ROUND(SUMPRODUCT(MAX((C$10:C55="Squat")*(N$10:N55="OK")*(F$10:F55)))*Settings!$B$37/100/5,0)*5,IF(SUMPRODUCT((C$10:C55="Light Squat")*(N$10:N55="OK")*1)=0,ROUND(SUMPRODUCT(MAX((C$10:C55="Squat")*(N$10:N55="OK")*(F$10:F55)))*Settings!$B$37/100/5,0)*5,SUMPRODUCT(MAX((C$10:C55="Light Squat")*(N$10:N55="OK")*(F$10:F55)))+Settings!$B$38)),IF(SUMPRODUCT((C$10:C55=C56)*(N$10:N55="OK")*1)=0,IF(C56="Squat",Settings!$B$5,IF(C56="Bench Press",Settings!$B$6,IF(C56="Deadlift",Settings!$B$7,IF(C56="Overhead Press",Settings!$B$8,IF(C56="Power Clean",Settings!$B$9,0))))),SUMPRODUCT(MAX((C$10:C55=C56)*(N$10:N55="OK")*(F$10:F55)))+IF(C56="Squat",Settings!$B$12,IF(C56="Bench Press",Settings!$B$13,IF(C56="Deadlift",Settings!$B$14,IF(C56="Overhead Press",Settings!$B$15,IF(C56="Power Clean",Settings!$B$16,0)))))))))</f>
      </c>
      <c r="F56" s="28" t="s">
        <v>0</v>
      </c>
      <c r="G56" s="28" t="s">
        <v>0</v>
      </c>
      <c r="H56" s="28" t="s">
        <v>0</v>
      </c>
      <c r="I56" s="28" t="s">
        <v>0</v>
      </c>
      <c r="J56" s="44" t="s">
        <v>0</v>
      </c>
      <c r="K56" s="44" t="s">
        <v>0</v>
      </c>
      <c r="L56" s="43">
        <f>IF(C56="","",SUM(G56:K56))</f>
      </c>
      <c r="M56" s="43">
        <f>IF(C56="","",IF(NOT(OR(C56="Squat",C56="Bench Press",C56="Deadlift",C56="Overhead Press",C56="Power Clean",C56="Light Squat")),30,IF(OR(C56="Squat",C56="Bench Press",C56="Overhead Press",C56="Light Squat"),15,IF(C56="Deadlift",5,IF(C56="Power Clean",15,0)))))</f>
      </c>
      <c r="N56" s="43">
        <f>IF(C56="","",IF(NOT(OR(C56="Squat",C56="Bench Press",C56="Deadlift",C56="Overhead Press",C56="Power Clean",C56="Light Squat")),"—",IF(L56&gt;=M56,"OK","STALL")))</f>
      </c>
      <c r="O56" s="43" t="s">
        <v>0</v>
      </c>
      <c r="P56" s="43">
        <f>IF($C56="Squat",$F56,0)</f>
      </c>
      <c r="Q56" s="43">
        <f>IF($C56="Bench Press",$F56,0)</f>
      </c>
      <c r="R56" s="43">
        <f>IF($C56="Deadlift",$F56,0)</f>
      </c>
      <c r="S56" s="43">
        <f>IF($C56="Overhead Press",$F56,0)</f>
      </c>
      <c r="T56" s="43">
        <f>IF($C56="Power Clean",$F56,0)</f>
      </c>
    </row>
    <row r="57" spans="1:20" x14ac:dyDescent="0.25">
      <c r="A57" s="28" t="s">
        <v>0</v>
      </c>
      <c r="B57" s="28" t="s">
        <v>0</v>
      </c>
      <c r="C57" s="28" t="s">
        <v>0</v>
      </c>
      <c r="D57" s="43">
        <f>IF(C57="","",IF(OR(C57="Squat",C57="Bench Press",C57="Overhead Press",C57="Light Squat"),"3x5",IF(C57="Deadlift","1x5",IF(C57="Power Clean","5x3","3x10"))))</f>
      </c>
      <c r="E57" s="43">
        <f>IF(C57="","",IF(NOT(OR(C57="Squat",C57="Bench Press",C57="Deadlift",C57="Overhead Press",C57="Power Clean",C57="Light Squat")),"—",IF(C57="Light Squat",IF(COUNTIF(C$10:C56,"Light Squat")=0,ROUND(SUMPRODUCT(MAX((C$10:C56="Squat")*(N$10:N56="OK")*(F$10:F56)))*Settings!$B$37/100/5,0)*5,IF(SUMPRODUCT((C$10:C56="Light Squat")*(N$10:N56="OK")*1)=0,ROUND(SUMPRODUCT(MAX((C$10:C56="Squat")*(N$10:N56="OK")*(F$10:F56)))*Settings!$B$37/100/5,0)*5,SUMPRODUCT(MAX((C$10:C56="Light Squat")*(N$10:N56="OK")*(F$10:F56)))+Settings!$B$38)),IF(SUMPRODUCT((C$10:C56=C57)*(N$10:N56="OK")*1)=0,IF(C57="Squat",Settings!$B$5,IF(C57="Bench Press",Settings!$B$6,IF(C57="Deadlift",Settings!$B$7,IF(C57="Overhead Press",Settings!$B$8,IF(C57="Power Clean",Settings!$B$9,0))))),SUMPRODUCT(MAX((C$10:C56=C57)*(N$10:N56="OK")*(F$10:F56)))+IF(C57="Squat",Settings!$B$12,IF(C57="Bench Press",Settings!$B$13,IF(C57="Deadlift",Settings!$B$14,IF(C57="Overhead Press",Settings!$B$15,IF(C57="Power Clean",Settings!$B$16,0)))))))))</f>
      </c>
      <c r="F57" s="28" t="s">
        <v>0</v>
      </c>
      <c r="G57" s="28" t="s">
        <v>0</v>
      </c>
      <c r="H57" s="28" t="s">
        <v>0</v>
      </c>
      <c r="I57" s="28" t="s">
        <v>0</v>
      </c>
      <c r="J57" s="44" t="s">
        <v>0</v>
      </c>
      <c r="K57" s="44" t="s">
        <v>0</v>
      </c>
      <c r="L57" s="43">
        <f>IF(C57="","",SUM(G57:K57))</f>
      </c>
      <c r="M57" s="43">
        <f>IF(C57="","",IF(NOT(OR(C57="Squat",C57="Bench Press",C57="Deadlift",C57="Overhead Press",C57="Power Clean",C57="Light Squat")),30,IF(OR(C57="Squat",C57="Bench Press",C57="Overhead Press",C57="Light Squat"),15,IF(C57="Deadlift",5,IF(C57="Power Clean",15,0)))))</f>
      </c>
      <c r="N57" s="43">
        <f>IF(C57="","",IF(NOT(OR(C57="Squat",C57="Bench Press",C57="Deadlift",C57="Overhead Press",C57="Power Clean",C57="Light Squat")),"—",IF(L57&gt;=M57,"OK","STALL")))</f>
      </c>
      <c r="O57" s="43" t="s">
        <v>0</v>
      </c>
      <c r="P57" s="43">
        <f>IF($C57="Squat",$F57,0)</f>
      </c>
      <c r="Q57" s="43">
        <f>IF($C57="Bench Press",$F57,0)</f>
      </c>
      <c r="R57" s="43">
        <f>IF($C57="Deadlift",$F57,0)</f>
      </c>
      <c r="S57" s="43">
        <f>IF($C57="Overhead Press",$F57,0)</f>
      </c>
      <c r="T57" s="43">
        <f>IF($C57="Power Clean",$F57,0)</f>
      </c>
    </row>
    <row r="58" spans="1:20" x14ac:dyDescent="0.25">
      <c r="A58" s="28" t="s">
        <v>0</v>
      </c>
      <c r="B58" s="28" t="s">
        <v>0</v>
      </c>
      <c r="C58" s="28" t="s">
        <v>0</v>
      </c>
      <c r="D58" s="43">
        <f>IF(C58="","",IF(OR(C58="Squat",C58="Bench Press",C58="Overhead Press",C58="Light Squat"),"3x5",IF(C58="Deadlift","1x5",IF(C58="Power Clean","5x3","3x10"))))</f>
      </c>
      <c r="E58" s="43">
        <f>IF(C58="","",IF(NOT(OR(C58="Squat",C58="Bench Press",C58="Deadlift",C58="Overhead Press",C58="Power Clean",C58="Light Squat")),"—",IF(C58="Light Squat",IF(COUNTIF(C$10:C57,"Light Squat")=0,ROUND(SUMPRODUCT(MAX((C$10:C57="Squat")*(N$10:N57="OK")*(F$10:F57)))*Settings!$B$37/100/5,0)*5,IF(SUMPRODUCT((C$10:C57="Light Squat")*(N$10:N57="OK")*1)=0,ROUND(SUMPRODUCT(MAX((C$10:C57="Squat")*(N$10:N57="OK")*(F$10:F57)))*Settings!$B$37/100/5,0)*5,SUMPRODUCT(MAX((C$10:C57="Light Squat")*(N$10:N57="OK")*(F$10:F57)))+Settings!$B$38)),IF(SUMPRODUCT((C$10:C57=C58)*(N$10:N57="OK")*1)=0,IF(C58="Squat",Settings!$B$5,IF(C58="Bench Press",Settings!$B$6,IF(C58="Deadlift",Settings!$B$7,IF(C58="Overhead Press",Settings!$B$8,IF(C58="Power Clean",Settings!$B$9,0))))),SUMPRODUCT(MAX((C$10:C57=C58)*(N$10:N57="OK")*(F$10:F57)))+IF(C58="Squat",Settings!$B$12,IF(C58="Bench Press",Settings!$B$13,IF(C58="Deadlift",Settings!$B$14,IF(C58="Overhead Press",Settings!$B$15,IF(C58="Power Clean",Settings!$B$16,0)))))))))</f>
      </c>
      <c r="F58" s="28" t="s">
        <v>0</v>
      </c>
      <c r="G58" s="28" t="s">
        <v>0</v>
      </c>
      <c r="H58" s="28" t="s">
        <v>0</v>
      </c>
      <c r="I58" s="28" t="s">
        <v>0</v>
      </c>
      <c r="J58" s="44" t="s">
        <v>0</v>
      </c>
      <c r="K58" s="44" t="s">
        <v>0</v>
      </c>
      <c r="L58" s="43">
        <f>IF(C58="","",SUM(G58:K58))</f>
      </c>
      <c r="M58" s="43">
        <f>IF(C58="","",IF(NOT(OR(C58="Squat",C58="Bench Press",C58="Deadlift",C58="Overhead Press",C58="Power Clean",C58="Light Squat")),30,IF(OR(C58="Squat",C58="Bench Press",C58="Overhead Press",C58="Light Squat"),15,IF(C58="Deadlift",5,IF(C58="Power Clean",15,0)))))</f>
      </c>
      <c r="N58" s="43">
        <f>IF(C58="","",IF(NOT(OR(C58="Squat",C58="Bench Press",C58="Deadlift",C58="Overhead Press",C58="Power Clean",C58="Light Squat")),"—",IF(L58&gt;=M58,"OK","STALL")))</f>
      </c>
      <c r="O58" s="43" t="s">
        <v>0</v>
      </c>
      <c r="P58" s="43">
        <f>IF($C58="Squat",$F58,0)</f>
      </c>
      <c r="Q58" s="43">
        <f>IF($C58="Bench Press",$F58,0)</f>
      </c>
      <c r="R58" s="43">
        <f>IF($C58="Deadlift",$F58,0)</f>
      </c>
      <c r="S58" s="43">
        <f>IF($C58="Overhead Press",$F58,0)</f>
      </c>
      <c r="T58" s="43">
        <f>IF($C58="Power Clean",$F58,0)</f>
      </c>
    </row>
    <row r="59" spans="1:20" x14ac:dyDescent="0.25">
      <c r="A59" s="28" t="s">
        <v>0</v>
      </c>
      <c r="B59" s="28" t="s">
        <v>0</v>
      </c>
      <c r="C59" s="28" t="s">
        <v>0</v>
      </c>
      <c r="D59" s="43">
        <f>IF(C59="","",IF(OR(C59="Squat",C59="Bench Press",C59="Overhead Press",C59="Light Squat"),"3x5",IF(C59="Deadlift","1x5",IF(C59="Power Clean","5x3","3x10"))))</f>
      </c>
      <c r="E59" s="43">
        <f>IF(C59="","",IF(NOT(OR(C59="Squat",C59="Bench Press",C59="Deadlift",C59="Overhead Press",C59="Power Clean",C59="Light Squat")),"—",IF(C59="Light Squat",IF(COUNTIF(C$10:C58,"Light Squat")=0,ROUND(SUMPRODUCT(MAX((C$10:C58="Squat")*(N$10:N58="OK")*(F$10:F58)))*Settings!$B$37/100/5,0)*5,IF(SUMPRODUCT((C$10:C58="Light Squat")*(N$10:N58="OK")*1)=0,ROUND(SUMPRODUCT(MAX((C$10:C58="Squat")*(N$10:N58="OK")*(F$10:F58)))*Settings!$B$37/100/5,0)*5,SUMPRODUCT(MAX((C$10:C58="Light Squat")*(N$10:N58="OK")*(F$10:F58)))+Settings!$B$38)),IF(SUMPRODUCT((C$10:C58=C59)*(N$10:N58="OK")*1)=0,IF(C59="Squat",Settings!$B$5,IF(C59="Bench Press",Settings!$B$6,IF(C59="Deadlift",Settings!$B$7,IF(C59="Overhead Press",Settings!$B$8,IF(C59="Power Clean",Settings!$B$9,0))))),SUMPRODUCT(MAX((C$10:C58=C59)*(N$10:N58="OK")*(F$10:F58)))+IF(C59="Squat",Settings!$B$12,IF(C59="Bench Press",Settings!$B$13,IF(C59="Deadlift",Settings!$B$14,IF(C59="Overhead Press",Settings!$B$15,IF(C59="Power Clean",Settings!$B$16,0)))))))))</f>
      </c>
      <c r="F59" s="28" t="s">
        <v>0</v>
      </c>
      <c r="G59" s="28" t="s">
        <v>0</v>
      </c>
      <c r="H59" s="28" t="s">
        <v>0</v>
      </c>
      <c r="I59" s="28" t="s">
        <v>0</v>
      </c>
      <c r="J59" s="44" t="s">
        <v>0</v>
      </c>
      <c r="K59" s="44" t="s">
        <v>0</v>
      </c>
      <c r="L59" s="43">
        <f>IF(C59="","",SUM(G59:K59))</f>
      </c>
      <c r="M59" s="43">
        <f>IF(C59="","",IF(NOT(OR(C59="Squat",C59="Bench Press",C59="Deadlift",C59="Overhead Press",C59="Power Clean",C59="Light Squat")),30,IF(OR(C59="Squat",C59="Bench Press",C59="Overhead Press",C59="Light Squat"),15,IF(C59="Deadlift",5,IF(C59="Power Clean",15,0)))))</f>
      </c>
      <c r="N59" s="43">
        <f>IF(C59="","",IF(NOT(OR(C59="Squat",C59="Bench Press",C59="Deadlift",C59="Overhead Press",C59="Power Clean",C59="Light Squat")),"—",IF(L59&gt;=M59,"OK","STALL")))</f>
      </c>
      <c r="O59" s="43" t="s">
        <v>0</v>
      </c>
      <c r="P59" s="43">
        <f>IF($C59="Squat",$F59,0)</f>
      </c>
      <c r="Q59" s="43">
        <f>IF($C59="Bench Press",$F59,0)</f>
      </c>
      <c r="R59" s="43">
        <f>IF($C59="Deadlift",$F59,0)</f>
      </c>
      <c r="S59" s="43">
        <f>IF($C59="Overhead Press",$F59,0)</f>
      </c>
      <c r="T59" s="43">
        <f>IF($C59="Power Clean",$F59,0)</f>
      </c>
    </row>
    <row r="60" spans="1:20" x14ac:dyDescent="0.25">
      <c r="A60" s="28" t="s">
        <v>0</v>
      </c>
      <c r="B60" s="28" t="s">
        <v>0</v>
      </c>
      <c r="C60" s="28" t="s">
        <v>0</v>
      </c>
      <c r="D60" s="43">
        <f>IF(C60="","",IF(OR(C60="Squat",C60="Bench Press",C60="Overhead Press",C60="Light Squat"),"3x5",IF(C60="Deadlift","1x5",IF(C60="Power Clean","5x3","3x10"))))</f>
      </c>
      <c r="E60" s="43">
        <f>IF(C60="","",IF(NOT(OR(C60="Squat",C60="Bench Press",C60="Deadlift",C60="Overhead Press",C60="Power Clean",C60="Light Squat")),"—",IF(C60="Light Squat",IF(COUNTIF(C$10:C59,"Light Squat")=0,ROUND(SUMPRODUCT(MAX((C$10:C59="Squat")*(N$10:N59="OK")*(F$10:F59)))*Settings!$B$37/100/5,0)*5,IF(SUMPRODUCT((C$10:C59="Light Squat")*(N$10:N59="OK")*1)=0,ROUND(SUMPRODUCT(MAX((C$10:C59="Squat")*(N$10:N59="OK")*(F$10:F59)))*Settings!$B$37/100/5,0)*5,SUMPRODUCT(MAX((C$10:C59="Light Squat")*(N$10:N59="OK")*(F$10:F59)))+Settings!$B$38)),IF(SUMPRODUCT((C$10:C59=C60)*(N$10:N59="OK")*1)=0,IF(C60="Squat",Settings!$B$5,IF(C60="Bench Press",Settings!$B$6,IF(C60="Deadlift",Settings!$B$7,IF(C60="Overhead Press",Settings!$B$8,IF(C60="Power Clean",Settings!$B$9,0))))),SUMPRODUCT(MAX((C$10:C59=C60)*(N$10:N59="OK")*(F$10:F59)))+IF(C60="Squat",Settings!$B$12,IF(C60="Bench Press",Settings!$B$13,IF(C60="Deadlift",Settings!$B$14,IF(C60="Overhead Press",Settings!$B$15,IF(C60="Power Clean",Settings!$B$16,0)))))))))</f>
      </c>
      <c r="F60" s="28" t="s">
        <v>0</v>
      </c>
      <c r="G60" s="28" t="s">
        <v>0</v>
      </c>
      <c r="H60" s="28" t="s">
        <v>0</v>
      </c>
      <c r="I60" s="28" t="s">
        <v>0</v>
      </c>
      <c r="J60" s="44" t="s">
        <v>0</v>
      </c>
      <c r="K60" s="44" t="s">
        <v>0</v>
      </c>
      <c r="L60" s="43">
        <f>IF(C60="","",SUM(G60:K60))</f>
      </c>
      <c r="M60" s="43">
        <f>IF(C60="","",IF(NOT(OR(C60="Squat",C60="Bench Press",C60="Deadlift",C60="Overhead Press",C60="Power Clean",C60="Light Squat")),30,IF(OR(C60="Squat",C60="Bench Press",C60="Overhead Press",C60="Light Squat"),15,IF(C60="Deadlift",5,IF(C60="Power Clean",15,0)))))</f>
      </c>
      <c r="N60" s="43">
        <f>IF(C60="","",IF(NOT(OR(C60="Squat",C60="Bench Press",C60="Deadlift",C60="Overhead Press",C60="Power Clean",C60="Light Squat")),"—",IF(L60&gt;=M60,"OK","STALL")))</f>
      </c>
      <c r="O60" s="43" t="s">
        <v>0</v>
      </c>
      <c r="P60" s="43">
        <f>IF($C60="Squat",$F60,0)</f>
      </c>
      <c r="Q60" s="43">
        <f>IF($C60="Bench Press",$F60,0)</f>
      </c>
      <c r="R60" s="43">
        <f>IF($C60="Deadlift",$F60,0)</f>
      </c>
      <c r="S60" s="43">
        <f>IF($C60="Overhead Press",$F60,0)</f>
      </c>
      <c r="T60" s="43">
        <f>IF($C60="Power Clean",$F60,0)</f>
      </c>
    </row>
    <row r="61" spans="1:20" x14ac:dyDescent="0.25">
      <c r="A61" s="28" t="s">
        <v>0</v>
      </c>
      <c r="B61" s="28" t="s">
        <v>0</v>
      </c>
      <c r="C61" s="28" t="s">
        <v>0</v>
      </c>
      <c r="D61" s="43">
        <f>IF(C61="","",IF(OR(C61="Squat",C61="Bench Press",C61="Overhead Press",C61="Light Squat"),"3x5",IF(C61="Deadlift","1x5",IF(C61="Power Clean","5x3","3x10"))))</f>
      </c>
      <c r="E61" s="43">
        <f>IF(C61="","",IF(NOT(OR(C61="Squat",C61="Bench Press",C61="Deadlift",C61="Overhead Press",C61="Power Clean",C61="Light Squat")),"—",IF(C61="Light Squat",IF(COUNTIF(C$10:C60,"Light Squat")=0,ROUND(SUMPRODUCT(MAX((C$10:C60="Squat")*(N$10:N60="OK")*(F$10:F60)))*Settings!$B$37/100/5,0)*5,IF(SUMPRODUCT((C$10:C60="Light Squat")*(N$10:N60="OK")*1)=0,ROUND(SUMPRODUCT(MAX((C$10:C60="Squat")*(N$10:N60="OK")*(F$10:F60)))*Settings!$B$37/100/5,0)*5,SUMPRODUCT(MAX((C$10:C60="Light Squat")*(N$10:N60="OK")*(F$10:F60)))+Settings!$B$38)),IF(SUMPRODUCT((C$10:C60=C61)*(N$10:N60="OK")*1)=0,IF(C61="Squat",Settings!$B$5,IF(C61="Bench Press",Settings!$B$6,IF(C61="Deadlift",Settings!$B$7,IF(C61="Overhead Press",Settings!$B$8,IF(C61="Power Clean",Settings!$B$9,0))))),SUMPRODUCT(MAX((C$10:C60=C61)*(N$10:N60="OK")*(F$10:F60)))+IF(C61="Squat",Settings!$B$12,IF(C61="Bench Press",Settings!$B$13,IF(C61="Deadlift",Settings!$B$14,IF(C61="Overhead Press",Settings!$B$15,IF(C61="Power Clean",Settings!$B$16,0)))))))))</f>
      </c>
      <c r="F61" s="28" t="s">
        <v>0</v>
      </c>
      <c r="G61" s="28" t="s">
        <v>0</v>
      </c>
      <c r="H61" s="28" t="s">
        <v>0</v>
      </c>
      <c r="I61" s="28" t="s">
        <v>0</v>
      </c>
      <c r="J61" s="44" t="s">
        <v>0</v>
      </c>
      <c r="K61" s="44" t="s">
        <v>0</v>
      </c>
      <c r="L61" s="43">
        <f>IF(C61="","",SUM(G61:K61))</f>
      </c>
      <c r="M61" s="43">
        <f>IF(C61="","",IF(NOT(OR(C61="Squat",C61="Bench Press",C61="Deadlift",C61="Overhead Press",C61="Power Clean",C61="Light Squat")),30,IF(OR(C61="Squat",C61="Bench Press",C61="Overhead Press",C61="Light Squat"),15,IF(C61="Deadlift",5,IF(C61="Power Clean",15,0)))))</f>
      </c>
      <c r="N61" s="43">
        <f>IF(C61="","",IF(NOT(OR(C61="Squat",C61="Bench Press",C61="Deadlift",C61="Overhead Press",C61="Power Clean",C61="Light Squat")),"—",IF(L61&gt;=M61,"OK","STALL")))</f>
      </c>
      <c r="O61" s="43" t="s">
        <v>0</v>
      </c>
      <c r="P61" s="43">
        <f>IF($C61="Squat",$F61,0)</f>
      </c>
      <c r="Q61" s="43">
        <f>IF($C61="Bench Press",$F61,0)</f>
      </c>
      <c r="R61" s="43">
        <f>IF($C61="Deadlift",$F61,0)</f>
      </c>
      <c r="S61" s="43">
        <f>IF($C61="Overhead Press",$F61,0)</f>
      </c>
      <c r="T61" s="43">
        <f>IF($C61="Power Clean",$F61,0)</f>
      </c>
    </row>
    <row r="62" spans="1:20" x14ac:dyDescent="0.25">
      <c r="A62" s="28" t="s">
        <v>0</v>
      </c>
      <c r="B62" s="28" t="s">
        <v>0</v>
      </c>
      <c r="C62" s="28" t="s">
        <v>0</v>
      </c>
      <c r="D62" s="43">
        <f>IF(C62="","",IF(OR(C62="Squat",C62="Bench Press",C62="Overhead Press",C62="Light Squat"),"3x5",IF(C62="Deadlift","1x5",IF(C62="Power Clean","5x3","3x10"))))</f>
      </c>
      <c r="E62" s="43">
        <f>IF(C62="","",IF(NOT(OR(C62="Squat",C62="Bench Press",C62="Deadlift",C62="Overhead Press",C62="Power Clean",C62="Light Squat")),"—",IF(C62="Light Squat",IF(COUNTIF(C$10:C61,"Light Squat")=0,ROUND(SUMPRODUCT(MAX((C$10:C61="Squat")*(N$10:N61="OK")*(F$10:F61)))*Settings!$B$37/100/5,0)*5,IF(SUMPRODUCT((C$10:C61="Light Squat")*(N$10:N61="OK")*1)=0,ROUND(SUMPRODUCT(MAX((C$10:C61="Squat")*(N$10:N61="OK")*(F$10:F61)))*Settings!$B$37/100/5,0)*5,SUMPRODUCT(MAX((C$10:C61="Light Squat")*(N$10:N61="OK")*(F$10:F61)))+Settings!$B$38)),IF(SUMPRODUCT((C$10:C61=C62)*(N$10:N61="OK")*1)=0,IF(C62="Squat",Settings!$B$5,IF(C62="Bench Press",Settings!$B$6,IF(C62="Deadlift",Settings!$B$7,IF(C62="Overhead Press",Settings!$B$8,IF(C62="Power Clean",Settings!$B$9,0))))),SUMPRODUCT(MAX((C$10:C61=C62)*(N$10:N61="OK")*(F$10:F61)))+IF(C62="Squat",Settings!$B$12,IF(C62="Bench Press",Settings!$B$13,IF(C62="Deadlift",Settings!$B$14,IF(C62="Overhead Press",Settings!$B$15,IF(C62="Power Clean",Settings!$B$16,0)))))))))</f>
      </c>
      <c r="F62" s="28" t="s">
        <v>0</v>
      </c>
      <c r="G62" s="28" t="s">
        <v>0</v>
      </c>
      <c r="H62" s="28" t="s">
        <v>0</v>
      </c>
      <c r="I62" s="28" t="s">
        <v>0</v>
      </c>
      <c r="J62" s="44" t="s">
        <v>0</v>
      </c>
      <c r="K62" s="44" t="s">
        <v>0</v>
      </c>
      <c r="L62" s="43">
        <f>IF(C62="","",SUM(G62:K62))</f>
      </c>
      <c r="M62" s="43">
        <f>IF(C62="","",IF(NOT(OR(C62="Squat",C62="Bench Press",C62="Deadlift",C62="Overhead Press",C62="Power Clean",C62="Light Squat")),30,IF(OR(C62="Squat",C62="Bench Press",C62="Overhead Press",C62="Light Squat"),15,IF(C62="Deadlift",5,IF(C62="Power Clean",15,0)))))</f>
      </c>
      <c r="N62" s="43">
        <f>IF(C62="","",IF(NOT(OR(C62="Squat",C62="Bench Press",C62="Deadlift",C62="Overhead Press",C62="Power Clean",C62="Light Squat")),"—",IF(L62&gt;=M62,"OK","STALL")))</f>
      </c>
      <c r="O62" s="43" t="s">
        <v>0</v>
      </c>
      <c r="P62" s="43">
        <f>IF($C62="Squat",$F62,0)</f>
      </c>
      <c r="Q62" s="43">
        <f>IF($C62="Bench Press",$F62,0)</f>
      </c>
      <c r="R62" s="43">
        <f>IF($C62="Deadlift",$F62,0)</f>
      </c>
      <c r="S62" s="43">
        <f>IF($C62="Overhead Press",$F62,0)</f>
      </c>
      <c r="T62" s="43">
        <f>IF($C62="Power Clean",$F62,0)</f>
      </c>
    </row>
    <row r="63" spans="1:20" x14ac:dyDescent="0.25">
      <c r="A63" s="28" t="s">
        <v>0</v>
      </c>
      <c r="B63" s="28" t="s">
        <v>0</v>
      </c>
      <c r="C63" s="28" t="s">
        <v>0</v>
      </c>
      <c r="D63" s="43">
        <f>IF(C63="","",IF(OR(C63="Squat",C63="Bench Press",C63="Overhead Press",C63="Light Squat"),"3x5",IF(C63="Deadlift","1x5",IF(C63="Power Clean","5x3","3x10"))))</f>
      </c>
      <c r="E63" s="43">
        <f>IF(C63="","",IF(NOT(OR(C63="Squat",C63="Bench Press",C63="Deadlift",C63="Overhead Press",C63="Power Clean",C63="Light Squat")),"—",IF(C63="Light Squat",IF(COUNTIF(C$10:C62,"Light Squat")=0,ROUND(SUMPRODUCT(MAX((C$10:C62="Squat")*(N$10:N62="OK")*(F$10:F62)))*Settings!$B$37/100/5,0)*5,IF(SUMPRODUCT((C$10:C62="Light Squat")*(N$10:N62="OK")*1)=0,ROUND(SUMPRODUCT(MAX((C$10:C62="Squat")*(N$10:N62="OK")*(F$10:F62)))*Settings!$B$37/100/5,0)*5,SUMPRODUCT(MAX((C$10:C62="Light Squat")*(N$10:N62="OK")*(F$10:F62)))+Settings!$B$38)),IF(SUMPRODUCT((C$10:C62=C63)*(N$10:N62="OK")*1)=0,IF(C63="Squat",Settings!$B$5,IF(C63="Bench Press",Settings!$B$6,IF(C63="Deadlift",Settings!$B$7,IF(C63="Overhead Press",Settings!$B$8,IF(C63="Power Clean",Settings!$B$9,0))))),SUMPRODUCT(MAX((C$10:C62=C63)*(N$10:N62="OK")*(F$10:F62)))+IF(C63="Squat",Settings!$B$12,IF(C63="Bench Press",Settings!$B$13,IF(C63="Deadlift",Settings!$B$14,IF(C63="Overhead Press",Settings!$B$15,IF(C63="Power Clean",Settings!$B$16,0)))))))))</f>
      </c>
      <c r="F63" s="28" t="s">
        <v>0</v>
      </c>
      <c r="G63" s="28" t="s">
        <v>0</v>
      </c>
      <c r="H63" s="28" t="s">
        <v>0</v>
      </c>
      <c r="I63" s="28" t="s">
        <v>0</v>
      </c>
      <c r="J63" s="44" t="s">
        <v>0</v>
      </c>
      <c r="K63" s="44" t="s">
        <v>0</v>
      </c>
      <c r="L63" s="43">
        <f>IF(C63="","",SUM(G63:K63))</f>
      </c>
      <c r="M63" s="43">
        <f>IF(C63="","",IF(NOT(OR(C63="Squat",C63="Bench Press",C63="Deadlift",C63="Overhead Press",C63="Power Clean",C63="Light Squat")),30,IF(OR(C63="Squat",C63="Bench Press",C63="Overhead Press",C63="Light Squat"),15,IF(C63="Deadlift",5,IF(C63="Power Clean",15,0)))))</f>
      </c>
      <c r="N63" s="43">
        <f>IF(C63="","",IF(NOT(OR(C63="Squat",C63="Bench Press",C63="Deadlift",C63="Overhead Press",C63="Power Clean",C63="Light Squat")),"—",IF(L63&gt;=M63,"OK","STALL")))</f>
      </c>
      <c r="O63" s="43" t="s">
        <v>0</v>
      </c>
      <c r="P63" s="43">
        <f>IF($C63="Squat",$F63,0)</f>
      </c>
      <c r="Q63" s="43">
        <f>IF($C63="Bench Press",$F63,0)</f>
      </c>
      <c r="R63" s="43">
        <f>IF($C63="Deadlift",$F63,0)</f>
      </c>
      <c r="S63" s="43">
        <f>IF($C63="Overhead Press",$F63,0)</f>
      </c>
      <c r="T63" s="43">
        <f>IF($C63="Power Clean",$F63,0)</f>
      </c>
    </row>
    <row r="64" spans="1:20" x14ac:dyDescent="0.25">
      <c r="A64" s="28" t="s">
        <v>0</v>
      </c>
      <c r="B64" s="28" t="s">
        <v>0</v>
      </c>
      <c r="C64" s="28" t="s">
        <v>0</v>
      </c>
      <c r="D64" s="43">
        <f>IF(C64="","",IF(OR(C64="Squat",C64="Bench Press",C64="Overhead Press",C64="Light Squat"),"3x5",IF(C64="Deadlift","1x5",IF(C64="Power Clean","5x3","3x10"))))</f>
      </c>
      <c r="E64" s="43">
        <f>IF(C64="","",IF(NOT(OR(C64="Squat",C64="Bench Press",C64="Deadlift",C64="Overhead Press",C64="Power Clean",C64="Light Squat")),"—",IF(C64="Light Squat",IF(COUNTIF(C$10:C63,"Light Squat")=0,ROUND(SUMPRODUCT(MAX((C$10:C63="Squat")*(N$10:N63="OK")*(F$10:F63)))*Settings!$B$37/100/5,0)*5,IF(SUMPRODUCT((C$10:C63="Light Squat")*(N$10:N63="OK")*1)=0,ROUND(SUMPRODUCT(MAX((C$10:C63="Squat")*(N$10:N63="OK")*(F$10:F63)))*Settings!$B$37/100/5,0)*5,SUMPRODUCT(MAX((C$10:C63="Light Squat")*(N$10:N63="OK")*(F$10:F63)))+Settings!$B$38)),IF(SUMPRODUCT((C$10:C63=C64)*(N$10:N63="OK")*1)=0,IF(C64="Squat",Settings!$B$5,IF(C64="Bench Press",Settings!$B$6,IF(C64="Deadlift",Settings!$B$7,IF(C64="Overhead Press",Settings!$B$8,IF(C64="Power Clean",Settings!$B$9,0))))),SUMPRODUCT(MAX((C$10:C63=C64)*(N$10:N63="OK")*(F$10:F63)))+IF(C64="Squat",Settings!$B$12,IF(C64="Bench Press",Settings!$B$13,IF(C64="Deadlift",Settings!$B$14,IF(C64="Overhead Press",Settings!$B$15,IF(C64="Power Clean",Settings!$B$16,0)))))))))</f>
      </c>
      <c r="F64" s="28" t="s">
        <v>0</v>
      </c>
      <c r="G64" s="28" t="s">
        <v>0</v>
      </c>
      <c r="H64" s="28" t="s">
        <v>0</v>
      </c>
      <c r="I64" s="28" t="s">
        <v>0</v>
      </c>
      <c r="J64" s="44" t="s">
        <v>0</v>
      </c>
      <c r="K64" s="44" t="s">
        <v>0</v>
      </c>
      <c r="L64" s="43">
        <f>IF(C64="","",SUM(G64:K64))</f>
      </c>
      <c r="M64" s="43">
        <f>IF(C64="","",IF(NOT(OR(C64="Squat",C64="Bench Press",C64="Deadlift",C64="Overhead Press",C64="Power Clean",C64="Light Squat")),30,IF(OR(C64="Squat",C64="Bench Press",C64="Overhead Press",C64="Light Squat"),15,IF(C64="Deadlift",5,IF(C64="Power Clean",15,0)))))</f>
      </c>
      <c r="N64" s="43">
        <f>IF(C64="","",IF(NOT(OR(C64="Squat",C64="Bench Press",C64="Deadlift",C64="Overhead Press",C64="Power Clean",C64="Light Squat")),"—",IF(L64&gt;=M64,"OK","STALL")))</f>
      </c>
      <c r="O64" s="43" t="s">
        <v>0</v>
      </c>
      <c r="P64" s="43">
        <f>IF($C64="Squat",$F64,0)</f>
      </c>
      <c r="Q64" s="43">
        <f>IF($C64="Bench Press",$F64,0)</f>
      </c>
      <c r="R64" s="43">
        <f>IF($C64="Deadlift",$F64,0)</f>
      </c>
      <c r="S64" s="43">
        <f>IF($C64="Overhead Press",$F64,0)</f>
      </c>
      <c r="T64" s="43">
        <f>IF($C64="Power Clean",$F64,0)</f>
      </c>
    </row>
    <row r="65" spans="1:20" x14ac:dyDescent="0.25">
      <c r="A65" s="28" t="s">
        <v>0</v>
      </c>
      <c r="B65" s="28" t="s">
        <v>0</v>
      </c>
      <c r="C65" s="28" t="s">
        <v>0</v>
      </c>
      <c r="D65" s="43">
        <f>IF(C65="","",IF(OR(C65="Squat",C65="Bench Press",C65="Overhead Press",C65="Light Squat"),"3x5",IF(C65="Deadlift","1x5",IF(C65="Power Clean","5x3","3x10"))))</f>
      </c>
      <c r="E65" s="43">
        <f>IF(C65="","",IF(NOT(OR(C65="Squat",C65="Bench Press",C65="Deadlift",C65="Overhead Press",C65="Power Clean",C65="Light Squat")),"—",IF(C65="Light Squat",IF(COUNTIF(C$10:C64,"Light Squat")=0,ROUND(SUMPRODUCT(MAX((C$10:C64="Squat")*(N$10:N64="OK")*(F$10:F64)))*Settings!$B$37/100/5,0)*5,IF(SUMPRODUCT((C$10:C64="Light Squat")*(N$10:N64="OK")*1)=0,ROUND(SUMPRODUCT(MAX((C$10:C64="Squat")*(N$10:N64="OK")*(F$10:F64)))*Settings!$B$37/100/5,0)*5,SUMPRODUCT(MAX((C$10:C64="Light Squat")*(N$10:N64="OK")*(F$10:F64)))+Settings!$B$38)),IF(SUMPRODUCT((C$10:C64=C65)*(N$10:N64="OK")*1)=0,IF(C65="Squat",Settings!$B$5,IF(C65="Bench Press",Settings!$B$6,IF(C65="Deadlift",Settings!$B$7,IF(C65="Overhead Press",Settings!$B$8,IF(C65="Power Clean",Settings!$B$9,0))))),SUMPRODUCT(MAX((C$10:C64=C65)*(N$10:N64="OK")*(F$10:F64)))+IF(C65="Squat",Settings!$B$12,IF(C65="Bench Press",Settings!$B$13,IF(C65="Deadlift",Settings!$B$14,IF(C65="Overhead Press",Settings!$B$15,IF(C65="Power Clean",Settings!$B$16,0)))))))))</f>
      </c>
      <c r="F65" s="28" t="s">
        <v>0</v>
      </c>
      <c r="G65" s="28" t="s">
        <v>0</v>
      </c>
      <c r="H65" s="28" t="s">
        <v>0</v>
      </c>
      <c r="I65" s="28" t="s">
        <v>0</v>
      </c>
      <c r="J65" s="44" t="s">
        <v>0</v>
      </c>
      <c r="K65" s="44" t="s">
        <v>0</v>
      </c>
      <c r="L65" s="43">
        <f>IF(C65="","",SUM(G65:K65))</f>
      </c>
      <c r="M65" s="43">
        <f>IF(C65="","",IF(NOT(OR(C65="Squat",C65="Bench Press",C65="Deadlift",C65="Overhead Press",C65="Power Clean",C65="Light Squat")),30,IF(OR(C65="Squat",C65="Bench Press",C65="Overhead Press",C65="Light Squat"),15,IF(C65="Deadlift",5,IF(C65="Power Clean",15,0)))))</f>
      </c>
      <c r="N65" s="43">
        <f>IF(C65="","",IF(NOT(OR(C65="Squat",C65="Bench Press",C65="Deadlift",C65="Overhead Press",C65="Power Clean",C65="Light Squat")),"—",IF(L65&gt;=M65,"OK","STALL")))</f>
      </c>
      <c r="O65" s="43" t="s">
        <v>0</v>
      </c>
      <c r="P65" s="43">
        <f>IF($C65="Squat",$F65,0)</f>
      </c>
      <c r="Q65" s="43">
        <f>IF($C65="Bench Press",$F65,0)</f>
      </c>
      <c r="R65" s="43">
        <f>IF($C65="Deadlift",$F65,0)</f>
      </c>
      <c r="S65" s="43">
        <f>IF($C65="Overhead Press",$F65,0)</f>
      </c>
      <c r="T65" s="43">
        <f>IF($C65="Power Clean",$F65,0)</f>
      </c>
    </row>
    <row r="66" spans="1:20" x14ac:dyDescent="0.25">
      <c r="A66" s="28" t="s">
        <v>0</v>
      </c>
      <c r="B66" s="28" t="s">
        <v>0</v>
      </c>
      <c r="C66" s="28" t="s">
        <v>0</v>
      </c>
      <c r="D66" s="43">
        <f>IF(C66="","",IF(OR(C66="Squat",C66="Bench Press",C66="Overhead Press",C66="Light Squat"),"3x5",IF(C66="Deadlift","1x5",IF(C66="Power Clean","5x3","3x10"))))</f>
      </c>
      <c r="E66" s="43">
        <f>IF(C66="","",IF(NOT(OR(C66="Squat",C66="Bench Press",C66="Deadlift",C66="Overhead Press",C66="Power Clean",C66="Light Squat")),"—",IF(C66="Light Squat",IF(COUNTIF(C$10:C65,"Light Squat")=0,ROUND(SUMPRODUCT(MAX((C$10:C65="Squat")*(N$10:N65="OK")*(F$10:F65)))*Settings!$B$37/100/5,0)*5,IF(SUMPRODUCT((C$10:C65="Light Squat")*(N$10:N65="OK")*1)=0,ROUND(SUMPRODUCT(MAX((C$10:C65="Squat")*(N$10:N65="OK")*(F$10:F65)))*Settings!$B$37/100/5,0)*5,SUMPRODUCT(MAX((C$10:C65="Light Squat")*(N$10:N65="OK")*(F$10:F65)))+Settings!$B$38)),IF(SUMPRODUCT((C$10:C65=C66)*(N$10:N65="OK")*1)=0,IF(C66="Squat",Settings!$B$5,IF(C66="Bench Press",Settings!$B$6,IF(C66="Deadlift",Settings!$B$7,IF(C66="Overhead Press",Settings!$B$8,IF(C66="Power Clean",Settings!$B$9,0))))),SUMPRODUCT(MAX((C$10:C65=C66)*(N$10:N65="OK")*(F$10:F65)))+IF(C66="Squat",Settings!$B$12,IF(C66="Bench Press",Settings!$B$13,IF(C66="Deadlift",Settings!$B$14,IF(C66="Overhead Press",Settings!$B$15,IF(C66="Power Clean",Settings!$B$16,0)))))))))</f>
      </c>
      <c r="F66" s="28" t="s">
        <v>0</v>
      </c>
      <c r="G66" s="28" t="s">
        <v>0</v>
      </c>
      <c r="H66" s="28" t="s">
        <v>0</v>
      </c>
      <c r="I66" s="28" t="s">
        <v>0</v>
      </c>
      <c r="J66" s="44" t="s">
        <v>0</v>
      </c>
      <c r="K66" s="44" t="s">
        <v>0</v>
      </c>
      <c r="L66" s="43">
        <f>IF(C66="","",SUM(G66:K66))</f>
      </c>
      <c r="M66" s="43">
        <f>IF(C66="","",IF(NOT(OR(C66="Squat",C66="Bench Press",C66="Deadlift",C66="Overhead Press",C66="Power Clean",C66="Light Squat")),30,IF(OR(C66="Squat",C66="Bench Press",C66="Overhead Press",C66="Light Squat"),15,IF(C66="Deadlift",5,IF(C66="Power Clean",15,0)))))</f>
      </c>
      <c r="N66" s="43">
        <f>IF(C66="","",IF(NOT(OR(C66="Squat",C66="Bench Press",C66="Deadlift",C66="Overhead Press",C66="Power Clean",C66="Light Squat")),"—",IF(L66&gt;=M66,"OK","STALL")))</f>
      </c>
      <c r="O66" s="43" t="s">
        <v>0</v>
      </c>
      <c r="P66" s="43">
        <f>IF($C66="Squat",$F66,0)</f>
      </c>
      <c r="Q66" s="43">
        <f>IF($C66="Bench Press",$F66,0)</f>
      </c>
      <c r="R66" s="43">
        <f>IF($C66="Deadlift",$F66,0)</f>
      </c>
      <c r="S66" s="43">
        <f>IF($C66="Overhead Press",$F66,0)</f>
      </c>
      <c r="T66" s="43">
        <f>IF($C66="Power Clean",$F66,0)</f>
      </c>
    </row>
    <row r="67" spans="1:20" x14ac:dyDescent="0.25">
      <c r="A67" s="28" t="s">
        <v>0</v>
      </c>
      <c r="B67" s="28" t="s">
        <v>0</v>
      </c>
      <c r="C67" s="28" t="s">
        <v>0</v>
      </c>
      <c r="D67" s="43">
        <f>IF(C67="","",IF(OR(C67="Squat",C67="Bench Press",C67="Overhead Press",C67="Light Squat"),"3x5",IF(C67="Deadlift","1x5",IF(C67="Power Clean","5x3","3x10"))))</f>
      </c>
      <c r="E67" s="43">
        <f>IF(C67="","",IF(NOT(OR(C67="Squat",C67="Bench Press",C67="Deadlift",C67="Overhead Press",C67="Power Clean",C67="Light Squat")),"—",IF(C67="Light Squat",IF(COUNTIF(C$10:C66,"Light Squat")=0,ROUND(SUMPRODUCT(MAX((C$10:C66="Squat")*(N$10:N66="OK")*(F$10:F66)))*Settings!$B$37/100/5,0)*5,IF(SUMPRODUCT((C$10:C66="Light Squat")*(N$10:N66="OK")*1)=0,ROUND(SUMPRODUCT(MAX((C$10:C66="Squat")*(N$10:N66="OK")*(F$10:F66)))*Settings!$B$37/100/5,0)*5,SUMPRODUCT(MAX((C$10:C66="Light Squat")*(N$10:N66="OK")*(F$10:F66)))+Settings!$B$38)),IF(SUMPRODUCT((C$10:C66=C67)*(N$10:N66="OK")*1)=0,IF(C67="Squat",Settings!$B$5,IF(C67="Bench Press",Settings!$B$6,IF(C67="Deadlift",Settings!$B$7,IF(C67="Overhead Press",Settings!$B$8,IF(C67="Power Clean",Settings!$B$9,0))))),SUMPRODUCT(MAX((C$10:C66=C67)*(N$10:N66="OK")*(F$10:F66)))+IF(C67="Squat",Settings!$B$12,IF(C67="Bench Press",Settings!$B$13,IF(C67="Deadlift",Settings!$B$14,IF(C67="Overhead Press",Settings!$B$15,IF(C67="Power Clean",Settings!$B$16,0)))))))))</f>
      </c>
      <c r="F67" s="28" t="s">
        <v>0</v>
      </c>
      <c r="G67" s="28" t="s">
        <v>0</v>
      </c>
      <c r="H67" s="28" t="s">
        <v>0</v>
      </c>
      <c r="I67" s="28" t="s">
        <v>0</v>
      </c>
      <c r="J67" s="44" t="s">
        <v>0</v>
      </c>
      <c r="K67" s="44" t="s">
        <v>0</v>
      </c>
      <c r="L67" s="43">
        <f>IF(C67="","",SUM(G67:K67))</f>
      </c>
      <c r="M67" s="43">
        <f>IF(C67="","",IF(NOT(OR(C67="Squat",C67="Bench Press",C67="Deadlift",C67="Overhead Press",C67="Power Clean",C67="Light Squat")),30,IF(OR(C67="Squat",C67="Bench Press",C67="Overhead Press",C67="Light Squat"),15,IF(C67="Deadlift",5,IF(C67="Power Clean",15,0)))))</f>
      </c>
      <c r="N67" s="43">
        <f>IF(C67="","",IF(NOT(OR(C67="Squat",C67="Bench Press",C67="Deadlift",C67="Overhead Press",C67="Power Clean",C67="Light Squat")),"—",IF(L67&gt;=M67,"OK","STALL")))</f>
      </c>
      <c r="O67" s="43" t="s">
        <v>0</v>
      </c>
      <c r="P67" s="43">
        <f>IF($C67="Squat",$F67,0)</f>
      </c>
      <c r="Q67" s="43">
        <f>IF($C67="Bench Press",$F67,0)</f>
      </c>
      <c r="R67" s="43">
        <f>IF($C67="Deadlift",$F67,0)</f>
      </c>
      <c r="S67" s="43">
        <f>IF($C67="Overhead Press",$F67,0)</f>
      </c>
      <c r="T67" s="43">
        <f>IF($C67="Power Clean",$F67,0)</f>
      </c>
    </row>
    <row r="68" spans="1:20" x14ac:dyDescent="0.25">
      <c r="A68" s="28" t="s">
        <v>0</v>
      </c>
      <c r="B68" s="28" t="s">
        <v>0</v>
      </c>
      <c r="C68" s="28" t="s">
        <v>0</v>
      </c>
      <c r="D68" s="43">
        <f>IF(C68="","",IF(OR(C68="Squat",C68="Bench Press",C68="Overhead Press",C68="Light Squat"),"3x5",IF(C68="Deadlift","1x5",IF(C68="Power Clean","5x3","3x10"))))</f>
      </c>
      <c r="E68" s="43">
        <f>IF(C68="","",IF(NOT(OR(C68="Squat",C68="Bench Press",C68="Deadlift",C68="Overhead Press",C68="Power Clean",C68="Light Squat")),"—",IF(C68="Light Squat",IF(COUNTIF(C$10:C67,"Light Squat")=0,ROUND(SUMPRODUCT(MAX((C$10:C67="Squat")*(N$10:N67="OK")*(F$10:F67)))*Settings!$B$37/100/5,0)*5,IF(SUMPRODUCT((C$10:C67="Light Squat")*(N$10:N67="OK")*1)=0,ROUND(SUMPRODUCT(MAX((C$10:C67="Squat")*(N$10:N67="OK")*(F$10:F67)))*Settings!$B$37/100/5,0)*5,SUMPRODUCT(MAX((C$10:C67="Light Squat")*(N$10:N67="OK")*(F$10:F67)))+Settings!$B$38)),IF(SUMPRODUCT((C$10:C67=C68)*(N$10:N67="OK")*1)=0,IF(C68="Squat",Settings!$B$5,IF(C68="Bench Press",Settings!$B$6,IF(C68="Deadlift",Settings!$B$7,IF(C68="Overhead Press",Settings!$B$8,IF(C68="Power Clean",Settings!$B$9,0))))),SUMPRODUCT(MAX((C$10:C67=C68)*(N$10:N67="OK")*(F$10:F67)))+IF(C68="Squat",Settings!$B$12,IF(C68="Bench Press",Settings!$B$13,IF(C68="Deadlift",Settings!$B$14,IF(C68="Overhead Press",Settings!$B$15,IF(C68="Power Clean",Settings!$B$16,0)))))))))</f>
      </c>
      <c r="F68" s="28" t="s">
        <v>0</v>
      </c>
      <c r="G68" s="28" t="s">
        <v>0</v>
      </c>
      <c r="H68" s="28" t="s">
        <v>0</v>
      </c>
      <c r="I68" s="28" t="s">
        <v>0</v>
      </c>
      <c r="J68" s="44" t="s">
        <v>0</v>
      </c>
      <c r="K68" s="44" t="s">
        <v>0</v>
      </c>
      <c r="L68" s="43">
        <f>IF(C68="","",SUM(G68:K68))</f>
      </c>
      <c r="M68" s="43">
        <f>IF(C68="","",IF(NOT(OR(C68="Squat",C68="Bench Press",C68="Deadlift",C68="Overhead Press",C68="Power Clean",C68="Light Squat")),30,IF(OR(C68="Squat",C68="Bench Press",C68="Overhead Press",C68="Light Squat"),15,IF(C68="Deadlift",5,IF(C68="Power Clean",15,0)))))</f>
      </c>
      <c r="N68" s="43">
        <f>IF(C68="","",IF(NOT(OR(C68="Squat",C68="Bench Press",C68="Deadlift",C68="Overhead Press",C68="Power Clean",C68="Light Squat")),"—",IF(L68&gt;=M68,"OK","STALL")))</f>
      </c>
      <c r="O68" s="43" t="s">
        <v>0</v>
      </c>
      <c r="P68" s="43">
        <f>IF($C68="Squat",$F68,0)</f>
      </c>
      <c r="Q68" s="43">
        <f>IF($C68="Bench Press",$F68,0)</f>
      </c>
      <c r="R68" s="43">
        <f>IF($C68="Deadlift",$F68,0)</f>
      </c>
      <c r="S68" s="43">
        <f>IF($C68="Overhead Press",$F68,0)</f>
      </c>
      <c r="T68" s="43">
        <f>IF($C68="Power Clean",$F68,0)</f>
      </c>
    </row>
    <row r="69" spans="1:20" x14ac:dyDescent="0.25">
      <c r="A69" s="28" t="s">
        <v>0</v>
      </c>
      <c r="B69" s="28" t="s">
        <v>0</v>
      </c>
      <c r="C69" s="28" t="s">
        <v>0</v>
      </c>
      <c r="D69" s="43">
        <f>IF(C69="","",IF(OR(C69="Squat",C69="Bench Press",C69="Overhead Press",C69="Light Squat"),"3x5",IF(C69="Deadlift","1x5",IF(C69="Power Clean","5x3","3x10"))))</f>
      </c>
      <c r="E69" s="43">
        <f>IF(C69="","",IF(NOT(OR(C69="Squat",C69="Bench Press",C69="Deadlift",C69="Overhead Press",C69="Power Clean",C69="Light Squat")),"—",IF(C69="Light Squat",IF(COUNTIF(C$10:C68,"Light Squat")=0,ROUND(SUMPRODUCT(MAX((C$10:C68="Squat")*(N$10:N68="OK")*(F$10:F68)))*Settings!$B$37/100/5,0)*5,IF(SUMPRODUCT((C$10:C68="Light Squat")*(N$10:N68="OK")*1)=0,ROUND(SUMPRODUCT(MAX((C$10:C68="Squat")*(N$10:N68="OK")*(F$10:F68)))*Settings!$B$37/100/5,0)*5,SUMPRODUCT(MAX((C$10:C68="Light Squat")*(N$10:N68="OK")*(F$10:F68)))+Settings!$B$38)),IF(SUMPRODUCT((C$10:C68=C69)*(N$10:N68="OK")*1)=0,IF(C69="Squat",Settings!$B$5,IF(C69="Bench Press",Settings!$B$6,IF(C69="Deadlift",Settings!$B$7,IF(C69="Overhead Press",Settings!$B$8,IF(C69="Power Clean",Settings!$B$9,0))))),SUMPRODUCT(MAX((C$10:C68=C69)*(N$10:N68="OK")*(F$10:F68)))+IF(C69="Squat",Settings!$B$12,IF(C69="Bench Press",Settings!$B$13,IF(C69="Deadlift",Settings!$B$14,IF(C69="Overhead Press",Settings!$B$15,IF(C69="Power Clean",Settings!$B$16,0)))))))))</f>
      </c>
      <c r="F69" s="28" t="s">
        <v>0</v>
      </c>
      <c r="G69" s="28" t="s">
        <v>0</v>
      </c>
      <c r="H69" s="28" t="s">
        <v>0</v>
      </c>
      <c r="I69" s="28" t="s">
        <v>0</v>
      </c>
      <c r="J69" s="44" t="s">
        <v>0</v>
      </c>
      <c r="K69" s="44" t="s">
        <v>0</v>
      </c>
      <c r="L69" s="43">
        <f>IF(C69="","",SUM(G69:K69))</f>
      </c>
      <c r="M69" s="43">
        <f>IF(C69="","",IF(NOT(OR(C69="Squat",C69="Bench Press",C69="Deadlift",C69="Overhead Press",C69="Power Clean",C69="Light Squat")),30,IF(OR(C69="Squat",C69="Bench Press",C69="Overhead Press",C69="Light Squat"),15,IF(C69="Deadlift",5,IF(C69="Power Clean",15,0)))))</f>
      </c>
      <c r="N69" s="43">
        <f>IF(C69="","",IF(NOT(OR(C69="Squat",C69="Bench Press",C69="Deadlift",C69="Overhead Press",C69="Power Clean",C69="Light Squat")),"—",IF(L69&gt;=M69,"OK","STALL")))</f>
      </c>
      <c r="O69" s="43" t="s">
        <v>0</v>
      </c>
      <c r="P69" s="43">
        <f>IF($C69="Squat",$F69,0)</f>
      </c>
      <c r="Q69" s="43">
        <f>IF($C69="Bench Press",$F69,0)</f>
      </c>
      <c r="R69" s="43">
        <f>IF($C69="Deadlift",$F69,0)</f>
      </c>
      <c r="S69" s="43">
        <f>IF($C69="Overhead Press",$F69,0)</f>
      </c>
      <c r="T69" s="43">
        <f>IF($C69="Power Clean",$F69,0)</f>
      </c>
    </row>
    <row r="70" spans="1:20" x14ac:dyDescent="0.25">
      <c r="A70" s="28" t="s">
        <v>0</v>
      </c>
      <c r="B70" s="28" t="s">
        <v>0</v>
      </c>
      <c r="C70" s="28" t="s">
        <v>0</v>
      </c>
      <c r="D70" s="43">
        <f>IF(C70="","",IF(OR(C70="Squat",C70="Bench Press",C70="Overhead Press",C70="Light Squat"),"3x5",IF(C70="Deadlift","1x5",IF(C70="Power Clean","5x3","3x10"))))</f>
      </c>
      <c r="E70" s="43">
        <f>IF(C70="","",IF(NOT(OR(C70="Squat",C70="Bench Press",C70="Deadlift",C70="Overhead Press",C70="Power Clean",C70="Light Squat")),"—",IF(C70="Light Squat",IF(COUNTIF(C$10:C69,"Light Squat")=0,ROUND(SUMPRODUCT(MAX((C$10:C69="Squat")*(N$10:N69="OK")*(F$10:F69)))*Settings!$B$37/100/5,0)*5,IF(SUMPRODUCT((C$10:C69="Light Squat")*(N$10:N69="OK")*1)=0,ROUND(SUMPRODUCT(MAX((C$10:C69="Squat")*(N$10:N69="OK")*(F$10:F69)))*Settings!$B$37/100/5,0)*5,SUMPRODUCT(MAX((C$10:C69="Light Squat")*(N$10:N69="OK")*(F$10:F69)))+Settings!$B$38)),IF(SUMPRODUCT((C$10:C69=C70)*(N$10:N69="OK")*1)=0,IF(C70="Squat",Settings!$B$5,IF(C70="Bench Press",Settings!$B$6,IF(C70="Deadlift",Settings!$B$7,IF(C70="Overhead Press",Settings!$B$8,IF(C70="Power Clean",Settings!$B$9,0))))),SUMPRODUCT(MAX((C$10:C69=C70)*(N$10:N69="OK")*(F$10:F69)))+IF(C70="Squat",Settings!$B$12,IF(C70="Bench Press",Settings!$B$13,IF(C70="Deadlift",Settings!$B$14,IF(C70="Overhead Press",Settings!$B$15,IF(C70="Power Clean",Settings!$B$16,0)))))))))</f>
      </c>
      <c r="F70" s="28" t="s">
        <v>0</v>
      </c>
      <c r="G70" s="28" t="s">
        <v>0</v>
      </c>
      <c r="H70" s="28" t="s">
        <v>0</v>
      </c>
      <c r="I70" s="28" t="s">
        <v>0</v>
      </c>
      <c r="J70" s="44" t="s">
        <v>0</v>
      </c>
      <c r="K70" s="44" t="s">
        <v>0</v>
      </c>
      <c r="L70" s="43">
        <f>IF(C70="","",SUM(G70:K70))</f>
      </c>
      <c r="M70" s="43">
        <f>IF(C70="","",IF(NOT(OR(C70="Squat",C70="Bench Press",C70="Deadlift",C70="Overhead Press",C70="Power Clean",C70="Light Squat")),30,IF(OR(C70="Squat",C70="Bench Press",C70="Overhead Press",C70="Light Squat"),15,IF(C70="Deadlift",5,IF(C70="Power Clean",15,0)))))</f>
      </c>
      <c r="N70" s="43">
        <f>IF(C70="","",IF(NOT(OR(C70="Squat",C70="Bench Press",C70="Deadlift",C70="Overhead Press",C70="Power Clean",C70="Light Squat")),"—",IF(L70&gt;=M70,"OK","STALL")))</f>
      </c>
      <c r="O70" s="43" t="s">
        <v>0</v>
      </c>
      <c r="P70" s="43">
        <f>IF($C70="Squat",$F70,0)</f>
      </c>
      <c r="Q70" s="43">
        <f>IF($C70="Bench Press",$F70,0)</f>
      </c>
      <c r="R70" s="43">
        <f>IF($C70="Deadlift",$F70,0)</f>
      </c>
      <c r="S70" s="43">
        <f>IF($C70="Overhead Press",$F70,0)</f>
      </c>
      <c r="T70" s="43">
        <f>IF($C70="Power Clean",$F70,0)</f>
      </c>
    </row>
    <row r="71" spans="1:20" x14ac:dyDescent="0.25">
      <c r="A71" s="28" t="s">
        <v>0</v>
      </c>
      <c r="B71" s="28" t="s">
        <v>0</v>
      </c>
      <c r="C71" s="28" t="s">
        <v>0</v>
      </c>
      <c r="D71" s="43">
        <f>IF(C71="","",IF(OR(C71="Squat",C71="Bench Press",C71="Overhead Press",C71="Light Squat"),"3x5",IF(C71="Deadlift","1x5",IF(C71="Power Clean","5x3","3x10"))))</f>
      </c>
      <c r="E71" s="43">
        <f>IF(C71="","",IF(NOT(OR(C71="Squat",C71="Bench Press",C71="Deadlift",C71="Overhead Press",C71="Power Clean",C71="Light Squat")),"—",IF(C71="Light Squat",IF(COUNTIF(C$10:C70,"Light Squat")=0,ROUND(SUMPRODUCT(MAX((C$10:C70="Squat")*(N$10:N70="OK")*(F$10:F70)))*Settings!$B$37/100/5,0)*5,IF(SUMPRODUCT((C$10:C70="Light Squat")*(N$10:N70="OK")*1)=0,ROUND(SUMPRODUCT(MAX((C$10:C70="Squat")*(N$10:N70="OK")*(F$10:F70)))*Settings!$B$37/100/5,0)*5,SUMPRODUCT(MAX((C$10:C70="Light Squat")*(N$10:N70="OK")*(F$10:F70)))+Settings!$B$38)),IF(SUMPRODUCT((C$10:C70=C71)*(N$10:N70="OK")*1)=0,IF(C71="Squat",Settings!$B$5,IF(C71="Bench Press",Settings!$B$6,IF(C71="Deadlift",Settings!$B$7,IF(C71="Overhead Press",Settings!$B$8,IF(C71="Power Clean",Settings!$B$9,0))))),SUMPRODUCT(MAX((C$10:C70=C71)*(N$10:N70="OK")*(F$10:F70)))+IF(C71="Squat",Settings!$B$12,IF(C71="Bench Press",Settings!$B$13,IF(C71="Deadlift",Settings!$B$14,IF(C71="Overhead Press",Settings!$B$15,IF(C71="Power Clean",Settings!$B$16,0)))))))))</f>
      </c>
      <c r="F71" s="28" t="s">
        <v>0</v>
      </c>
      <c r="G71" s="28" t="s">
        <v>0</v>
      </c>
      <c r="H71" s="28" t="s">
        <v>0</v>
      </c>
      <c r="I71" s="28" t="s">
        <v>0</v>
      </c>
      <c r="J71" s="44" t="s">
        <v>0</v>
      </c>
      <c r="K71" s="44" t="s">
        <v>0</v>
      </c>
      <c r="L71" s="43">
        <f>IF(C71="","",SUM(G71:K71))</f>
      </c>
      <c r="M71" s="43">
        <f>IF(C71="","",IF(NOT(OR(C71="Squat",C71="Bench Press",C71="Deadlift",C71="Overhead Press",C71="Power Clean",C71="Light Squat")),30,IF(OR(C71="Squat",C71="Bench Press",C71="Overhead Press",C71="Light Squat"),15,IF(C71="Deadlift",5,IF(C71="Power Clean",15,0)))))</f>
      </c>
      <c r="N71" s="43">
        <f>IF(C71="","",IF(NOT(OR(C71="Squat",C71="Bench Press",C71="Deadlift",C71="Overhead Press",C71="Power Clean",C71="Light Squat")),"—",IF(L71&gt;=M71,"OK","STALL")))</f>
      </c>
      <c r="O71" s="43" t="s">
        <v>0</v>
      </c>
      <c r="P71" s="43">
        <f>IF($C71="Squat",$F71,0)</f>
      </c>
      <c r="Q71" s="43">
        <f>IF($C71="Bench Press",$F71,0)</f>
      </c>
      <c r="R71" s="43">
        <f>IF($C71="Deadlift",$F71,0)</f>
      </c>
      <c r="S71" s="43">
        <f>IF($C71="Overhead Press",$F71,0)</f>
      </c>
      <c r="T71" s="43">
        <f>IF($C71="Power Clean",$F71,0)</f>
      </c>
    </row>
    <row r="72" spans="1:20" x14ac:dyDescent="0.25">
      <c r="A72" s="28" t="s">
        <v>0</v>
      </c>
      <c r="B72" s="28" t="s">
        <v>0</v>
      </c>
      <c r="C72" s="28" t="s">
        <v>0</v>
      </c>
      <c r="D72" s="43">
        <f>IF(C72="","",IF(OR(C72="Squat",C72="Bench Press",C72="Overhead Press",C72="Light Squat"),"3x5",IF(C72="Deadlift","1x5",IF(C72="Power Clean","5x3","3x10"))))</f>
      </c>
      <c r="E72" s="43">
        <f>IF(C72="","",IF(NOT(OR(C72="Squat",C72="Bench Press",C72="Deadlift",C72="Overhead Press",C72="Power Clean",C72="Light Squat")),"—",IF(C72="Light Squat",IF(COUNTIF(C$10:C71,"Light Squat")=0,ROUND(SUMPRODUCT(MAX((C$10:C71="Squat")*(N$10:N71="OK")*(F$10:F71)))*Settings!$B$37/100/5,0)*5,IF(SUMPRODUCT((C$10:C71="Light Squat")*(N$10:N71="OK")*1)=0,ROUND(SUMPRODUCT(MAX((C$10:C71="Squat")*(N$10:N71="OK")*(F$10:F71)))*Settings!$B$37/100/5,0)*5,SUMPRODUCT(MAX((C$10:C71="Light Squat")*(N$10:N71="OK")*(F$10:F71)))+Settings!$B$38)),IF(SUMPRODUCT((C$10:C71=C72)*(N$10:N71="OK")*1)=0,IF(C72="Squat",Settings!$B$5,IF(C72="Bench Press",Settings!$B$6,IF(C72="Deadlift",Settings!$B$7,IF(C72="Overhead Press",Settings!$B$8,IF(C72="Power Clean",Settings!$B$9,0))))),SUMPRODUCT(MAX((C$10:C71=C72)*(N$10:N71="OK")*(F$10:F71)))+IF(C72="Squat",Settings!$B$12,IF(C72="Bench Press",Settings!$B$13,IF(C72="Deadlift",Settings!$B$14,IF(C72="Overhead Press",Settings!$B$15,IF(C72="Power Clean",Settings!$B$16,0)))))))))</f>
      </c>
      <c r="F72" s="28" t="s">
        <v>0</v>
      </c>
      <c r="G72" s="28" t="s">
        <v>0</v>
      </c>
      <c r="H72" s="28" t="s">
        <v>0</v>
      </c>
      <c r="I72" s="28" t="s">
        <v>0</v>
      </c>
      <c r="J72" s="44" t="s">
        <v>0</v>
      </c>
      <c r="K72" s="44" t="s">
        <v>0</v>
      </c>
      <c r="L72" s="43">
        <f>IF(C72="","",SUM(G72:K72))</f>
      </c>
      <c r="M72" s="43">
        <f>IF(C72="","",IF(NOT(OR(C72="Squat",C72="Bench Press",C72="Deadlift",C72="Overhead Press",C72="Power Clean",C72="Light Squat")),30,IF(OR(C72="Squat",C72="Bench Press",C72="Overhead Press",C72="Light Squat"),15,IF(C72="Deadlift",5,IF(C72="Power Clean",15,0)))))</f>
      </c>
      <c r="N72" s="43">
        <f>IF(C72="","",IF(NOT(OR(C72="Squat",C72="Bench Press",C72="Deadlift",C72="Overhead Press",C72="Power Clean",C72="Light Squat")),"—",IF(L72&gt;=M72,"OK","STALL")))</f>
      </c>
      <c r="O72" s="43" t="s">
        <v>0</v>
      </c>
      <c r="P72" s="43">
        <f>IF($C72="Squat",$F72,0)</f>
      </c>
      <c r="Q72" s="43">
        <f>IF($C72="Bench Press",$F72,0)</f>
      </c>
      <c r="R72" s="43">
        <f>IF($C72="Deadlift",$F72,0)</f>
      </c>
      <c r="S72" s="43">
        <f>IF($C72="Overhead Press",$F72,0)</f>
      </c>
      <c r="T72" s="43">
        <f>IF($C72="Power Clean",$F72,0)</f>
      </c>
    </row>
    <row r="73" spans="1:20" x14ac:dyDescent="0.25">
      <c r="A73" s="28" t="s">
        <v>0</v>
      </c>
      <c r="B73" s="28" t="s">
        <v>0</v>
      </c>
      <c r="C73" s="28" t="s">
        <v>0</v>
      </c>
      <c r="D73" s="43">
        <f>IF(C73="","",IF(OR(C73="Squat",C73="Bench Press",C73="Overhead Press",C73="Light Squat"),"3x5",IF(C73="Deadlift","1x5",IF(C73="Power Clean","5x3","3x10"))))</f>
      </c>
      <c r="E73" s="43">
        <f>IF(C73="","",IF(NOT(OR(C73="Squat",C73="Bench Press",C73="Deadlift",C73="Overhead Press",C73="Power Clean",C73="Light Squat")),"—",IF(C73="Light Squat",IF(COUNTIF(C$10:C72,"Light Squat")=0,ROUND(SUMPRODUCT(MAX((C$10:C72="Squat")*(N$10:N72="OK")*(F$10:F72)))*Settings!$B$37/100/5,0)*5,IF(SUMPRODUCT((C$10:C72="Light Squat")*(N$10:N72="OK")*1)=0,ROUND(SUMPRODUCT(MAX((C$10:C72="Squat")*(N$10:N72="OK")*(F$10:F72)))*Settings!$B$37/100/5,0)*5,SUMPRODUCT(MAX((C$10:C72="Light Squat")*(N$10:N72="OK")*(F$10:F72)))+Settings!$B$38)),IF(SUMPRODUCT((C$10:C72=C73)*(N$10:N72="OK")*1)=0,IF(C73="Squat",Settings!$B$5,IF(C73="Bench Press",Settings!$B$6,IF(C73="Deadlift",Settings!$B$7,IF(C73="Overhead Press",Settings!$B$8,IF(C73="Power Clean",Settings!$B$9,0))))),SUMPRODUCT(MAX((C$10:C72=C73)*(N$10:N72="OK")*(F$10:F72)))+IF(C73="Squat",Settings!$B$12,IF(C73="Bench Press",Settings!$B$13,IF(C73="Deadlift",Settings!$B$14,IF(C73="Overhead Press",Settings!$B$15,IF(C73="Power Clean",Settings!$B$16,0)))))))))</f>
      </c>
      <c r="F73" s="28" t="s">
        <v>0</v>
      </c>
      <c r="G73" s="28" t="s">
        <v>0</v>
      </c>
      <c r="H73" s="28" t="s">
        <v>0</v>
      </c>
      <c r="I73" s="28" t="s">
        <v>0</v>
      </c>
      <c r="J73" s="44" t="s">
        <v>0</v>
      </c>
      <c r="K73" s="44" t="s">
        <v>0</v>
      </c>
      <c r="L73" s="43">
        <f>IF(C73="","",SUM(G73:K73))</f>
      </c>
      <c r="M73" s="43">
        <f>IF(C73="","",IF(NOT(OR(C73="Squat",C73="Bench Press",C73="Deadlift",C73="Overhead Press",C73="Power Clean",C73="Light Squat")),30,IF(OR(C73="Squat",C73="Bench Press",C73="Overhead Press",C73="Light Squat"),15,IF(C73="Deadlift",5,IF(C73="Power Clean",15,0)))))</f>
      </c>
      <c r="N73" s="43">
        <f>IF(C73="","",IF(NOT(OR(C73="Squat",C73="Bench Press",C73="Deadlift",C73="Overhead Press",C73="Power Clean",C73="Light Squat")),"—",IF(L73&gt;=M73,"OK","STALL")))</f>
      </c>
      <c r="O73" s="43" t="s">
        <v>0</v>
      </c>
      <c r="P73" s="43">
        <f>IF($C73="Squat",$F73,0)</f>
      </c>
      <c r="Q73" s="43">
        <f>IF($C73="Bench Press",$F73,0)</f>
      </c>
      <c r="R73" s="43">
        <f>IF($C73="Deadlift",$F73,0)</f>
      </c>
      <c r="S73" s="43">
        <f>IF($C73="Overhead Press",$F73,0)</f>
      </c>
      <c r="T73" s="43">
        <f>IF($C73="Power Clean",$F73,0)</f>
      </c>
    </row>
    <row r="74" spans="1:20" x14ac:dyDescent="0.25">
      <c r="A74" s="28" t="s">
        <v>0</v>
      </c>
      <c r="B74" s="28" t="s">
        <v>0</v>
      </c>
      <c r="C74" s="28" t="s">
        <v>0</v>
      </c>
      <c r="D74" s="43">
        <f>IF(C74="","",IF(OR(C74="Squat",C74="Bench Press",C74="Overhead Press",C74="Light Squat"),"3x5",IF(C74="Deadlift","1x5",IF(C74="Power Clean","5x3","3x10"))))</f>
      </c>
      <c r="E74" s="43">
        <f>IF(C74="","",IF(NOT(OR(C74="Squat",C74="Bench Press",C74="Deadlift",C74="Overhead Press",C74="Power Clean",C74="Light Squat")),"—",IF(C74="Light Squat",IF(COUNTIF(C$10:C73,"Light Squat")=0,ROUND(SUMPRODUCT(MAX((C$10:C73="Squat")*(N$10:N73="OK")*(F$10:F73)))*Settings!$B$37/100/5,0)*5,IF(SUMPRODUCT((C$10:C73="Light Squat")*(N$10:N73="OK")*1)=0,ROUND(SUMPRODUCT(MAX((C$10:C73="Squat")*(N$10:N73="OK")*(F$10:F73)))*Settings!$B$37/100/5,0)*5,SUMPRODUCT(MAX((C$10:C73="Light Squat")*(N$10:N73="OK")*(F$10:F73)))+Settings!$B$38)),IF(SUMPRODUCT((C$10:C73=C74)*(N$10:N73="OK")*1)=0,IF(C74="Squat",Settings!$B$5,IF(C74="Bench Press",Settings!$B$6,IF(C74="Deadlift",Settings!$B$7,IF(C74="Overhead Press",Settings!$B$8,IF(C74="Power Clean",Settings!$B$9,0))))),SUMPRODUCT(MAX((C$10:C73=C74)*(N$10:N73="OK")*(F$10:F73)))+IF(C74="Squat",Settings!$B$12,IF(C74="Bench Press",Settings!$B$13,IF(C74="Deadlift",Settings!$B$14,IF(C74="Overhead Press",Settings!$B$15,IF(C74="Power Clean",Settings!$B$16,0)))))))))</f>
      </c>
      <c r="F74" s="28" t="s">
        <v>0</v>
      </c>
      <c r="G74" s="28" t="s">
        <v>0</v>
      </c>
      <c r="H74" s="28" t="s">
        <v>0</v>
      </c>
      <c r="I74" s="28" t="s">
        <v>0</v>
      </c>
      <c r="J74" s="44" t="s">
        <v>0</v>
      </c>
      <c r="K74" s="44" t="s">
        <v>0</v>
      </c>
      <c r="L74" s="43">
        <f>IF(C74="","",SUM(G74:K74))</f>
      </c>
      <c r="M74" s="43">
        <f>IF(C74="","",IF(NOT(OR(C74="Squat",C74="Bench Press",C74="Deadlift",C74="Overhead Press",C74="Power Clean",C74="Light Squat")),30,IF(OR(C74="Squat",C74="Bench Press",C74="Overhead Press",C74="Light Squat"),15,IF(C74="Deadlift",5,IF(C74="Power Clean",15,0)))))</f>
      </c>
      <c r="N74" s="43">
        <f>IF(C74="","",IF(NOT(OR(C74="Squat",C74="Bench Press",C74="Deadlift",C74="Overhead Press",C74="Power Clean",C74="Light Squat")),"—",IF(L74&gt;=M74,"OK","STALL")))</f>
      </c>
      <c r="O74" s="43" t="s">
        <v>0</v>
      </c>
      <c r="P74" s="43">
        <f>IF($C74="Squat",$F74,0)</f>
      </c>
      <c r="Q74" s="43">
        <f>IF($C74="Bench Press",$F74,0)</f>
      </c>
      <c r="R74" s="43">
        <f>IF($C74="Deadlift",$F74,0)</f>
      </c>
      <c r="S74" s="43">
        <f>IF($C74="Overhead Press",$F74,0)</f>
      </c>
      <c r="T74" s="43">
        <f>IF($C74="Power Clean",$F74,0)</f>
      </c>
    </row>
    <row r="75" spans="1:20" x14ac:dyDescent="0.25">
      <c r="A75" s="28" t="s">
        <v>0</v>
      </c>
      <c r="B75" s="28" t="s">
        <v>0</v>
      </c>
      <c r="C75" s="28" t="s">
        <v>0</v>
      </c>
      <c r="D75" s="43">
        <f>IF(C75="","",IF(OR(C75="Squat",C75="Bench Press",C75="Overhead Press",C75="Light Squat"),"3x5",IF(C75="Deadlift","1x5",IF(C75="Power Clean","5x3","3x10"))))</f>
      </c>
      <c r="E75" s="43">
        <f>IF(C75="","",IF(NOT(OR(C75="Squat",C75="Bench Press",C75="Deadlift",C75="Overhead Press",C75="Power Clean",C75="Light Squat")),"—",IF(C75="Light Squat",IF(COUNTIF(C$10:C74,"Light Squat")=0,ROUND(SUMPRODUCT(MAX((C$10:C74="Squat")*(N$10:N74="OK")*(F$10:F74)))*Settings!$B$37/100/5,0)*5,IF(SUMPRODUCT((C$10:C74="Light Squat")*(N$10:N74="OK")*1)=0,ROUND(SUMPRODUCT(MAX((C$10:C74="Squat")*(N$10:N74="OK")*(F$10:F74)))*Settings!$B$37/100/5,0)*5,SUMPRODUCT(MAX((C$10:C74="Light Squat")*(N$10:N74="OK")*(F$10:F74)))+Settings!$B$38)),IF(SUMPRODUCT((C$10:C74=C75)*(N$10:N74="OK")*1)=0,IF(C75="Squat",Settings!$B$5,IF(C75="Bench Press",Settings!$B$6,IF(C75="Deadlift",Settings!$B$7,IF(C75="Overhead Press",Settings!$B$8,IF(C75="Power Clean",Settings!$B$9,0))))),SUMPRODUCT(MAX((C$10:C74=C75)*(N$10:N74="OK")*(F$10:F74)))+IF(C75="Squat",Settings!$B$12,IF(C75="Bench Press",Settings!$B$13,IF(C75="Deadlift",Settings!$B$14,IF(C75="Overhead Press",Settings!$B$15,IF(C75="Power Clean",Settings!$B$16,0)))))))))</f>
      </c>
      <c r="F75" s="28" t="s">
        <v>0</v>
      </c>
      <c r="G75" s="28" t="s">
        <v>0</v>
      </c>
      <c r="H75" s="28" t="s">
        <v>0</v>
      </c>
      <c r="I75" s="28" t="s">
        <v>0</v>
      </c>
      <c r="J75" s="44" t="s">
        <v>0</v>
      </c>
      <c r="K75" s="44" t="s">
        <v>0</v>
      </c>
      <c r="L75" s="43">
        <f>IF(C75="","",SUM(G75:K75))</f>
      </c>
      <c r="M75" s="43">
        <f>IF(C75="","",IF(NOT(OR(C75="Squat",C75="Bench Press",C75="Deadlift",C75="Overhead Press",C75="Power Clean",C75="Light Squat")),30,IF(OR(C75="Squat",C75="Bench Press",C75="Overhead Press",C75="Light Squat"),15,IF(C75="Deadlift",5,IF(C75="Power Clean",15,0)))))</f>
      </c>
      <c r="N75" s="43">
        <f>IF(C75="","",IF(NOT(OR(C75="Squat",C75="Bench Press",C75="Deadlift",C75="Overhead Press",C75="Power Clean",C75="Light Squat")),"—",IF(L75&gt;=M75,"OK","STALL")))</f>
      </c>
      <c r="O75" s="43" t="s">
        <v>0</v>
      </c>
      <c r="P75" s="43">
        <f>IF($C75="Squat",$F75,0)</f>
      </c>
      <c r="Q75" s="43">
        <f>IF($C75="Bench Press",$F75,0)</f>
      </c>
      <c r="R75" s="43">
        <f>IF($C75="Deadlift",$F75,0)</f>
      </c>
      <c r="S75" s="43">
        <f>IF($C75="Overhead Press",$F75,0)</f>
      </c>
      <c r="T75" s="43">
        <f>IF($C75="Power Clean",$F75,0)</f>
      </c>
    </row>
    <row r="76" spans="1:20" x14ac:dyDescent="0.25">
      <c r="A76" s="28" t="s">
        <v>0</v>
      </c>
      <c r="B76" s="28" t="s">
        <v>0</v>
      </c>
      <c r="C76" s="28" t="s">
        <v>0</v>
      </c>
      <c r="D76" s="43">
        <f>IF(C76="","",IF(OR(C76="Squat",C76="Bench Press",C76="Overhead Press",C76="Light Squat"),"3x5",IF(C76="Deadlift","1x5",IF(C76="Power Clean","5x3","3x10"))))</f>
      </c>
      <c r="E76" s="43">
        <f>IF(C76="","",IF(NOT(OR(C76="Squat",C76="Bench Press",C76="Deadlift",C76="Overhead Press",C76="Power Clean",C76="Light Squat")),"—",IF(C76="Light Squat",IF(COUNTIF(C$10:C75,"Light Squat")=0,ROUND(SUMPRODUCT(MAX((C$10:C75="Squat")*(N$10:N75="OK")*(F$10:F75)))*Settings!$B$37/100/5,0)*5,IF(SUMPRODUCT((C$10:C75="Light Squat")*(N$10:N75="OK")*1)=0,ROUND(SUMPRODUCT(MAX((C$10:C75="Squat")*(N$10:N75="OK")*(F$10:F75)))*Settings!$B$37/100/5,0)*5,SUMPRODUCT(MAX((C$10:C75="Light Squat")*(N$10:N75="OK")*(F$10:F75)))+Settings!$B$38)),IF(SUMPRODUCT((C$10:C75=C76)*(N$10:N75="OK")*1)=0,IF(C76="Squat",Settings!$B$5,IF(C76="Bench Press",Settings!$B$6,IF(C76="Deadlift",Settings!$B$7,IF(C76="Overhead Press",Settings!$B$8,IF(C76="Power Clean",Settings!$B$9,0))))),SUMPRODUCT(MAX((C$10:C75=C76)*(N$10:N75="OK")*(F$10:F75)))+IF(C76="Squat",Settings!$B$12,IF(C76="Bench Press",Settings!$B$13,IF(C76="Deadlift",Settings!$B$14,IF(C76="Overhead Press",Settings!$B$15,IF(C76="Power Clean",Settings!$B$16,0)))))))))</f>
      </c>
      <c r="F76" s="28" t="s">
        <v>0</v>
      </c>
      <c r="G76" s="28" t="s">
        <v>0</v>
      </c>
      <c r="H76" s="28" t="s">
        <v>0</v>
      </c>
      <c r="I76" s="28" t="s">
        <v>0</v>
      </c>
      <c r="J76" s="44" t="s">
        <v>0</v>
      </c>
      <c r="K76" s="44" t="s">
        <v>0</v>
      </c>
      <c r="L76" s="43">
        <f>IF(C76="","",SUM(G76:K76))</f>
      </c>
      <c r="M76" s="43">
        <f>IF(C76="","",IF(NOT(OR(C76="Squat",C76="Bench Press",C76="Deadlift",C76="Overhead Press",C76="Power Clean",C76="Light Squat")),30,IF(OR(C76="Squat",C76="Bench Press",C76="Overhead Press",C76="Light Squat"),15,IF(C76="Deadlift",5,IF(C76="Power Clean",15,0)))))</f>
      </c>
      <c r="N76" s="43">
        <f>IF(C76="","",IF(NOT(OR(C76="Squat",C76="Bench Press",C76="Deadlift",C76="Overhead Press",C76="Power Clean",C76="Light Squat")),"—",IF(L76&gt;=M76,"OK","STALL")))</f>
      </c>
      <c r="O76" s="43" t="s">
        <v>0</v>
      </c>
      <c r="P76" s="43">
        <f>IF($C76="Squat",$F76,0)</f>
      </c>
      <c r="Q76" s="43">
        <f>IF($C76="Bench Press",$F76,0)</f>
      </c>
      <c r="R76" s="43">
        <f>IF($C76="Deadlift",$F76,0)</f>
      </c>
      <c r="S76" s="43">
        <f>IF($C76="Overhead Press",$F76,0)</f>
      </c>
      <c r="T76" s="43">
        <f>IF($C76="Power Clean",$F76,0)</f>
      </c>
    </row>
    <row r="77" spans="1:20" x14ac:dyDescent="0.25">
      <c r="A77" s="28" t="s">
        <v>0</v>
      </c>
      <c r="B77" s="28" t="s">
        <v>0</v>
      </c>
      <c r="C77" s="28" t="s">
        <v>0</v>
      </c>
      <c r="D77" s="43">
        <f>IF(C77="","",IF(OR(C77="Squat",C77="Bench Press",C77="Overhead Press",C77="Light Squat"),"3x5",IF(C77="Deadlift","1x5",IF(C77="Power Clean","5x3","3x10"))))</f>
      </c>
      <c r="E77" s="43">
        <f>IF(C77="","",IF(NOT(OR(C77="Squat",C77="Bench Press",C77="Deadlift",C77="Overhead Press",C77="Power Clean",C77="Light Squat")),"—",IF(C77="Light Squat",IF(COUNTIF(C$10:C76,"Light Squat")=0,ROUND(SUMPRODUCT(MAX((C$10:C76="Squat")*(N$10:N76="OK")*(F$10:F76)))*Settings!$B$37/100/5,0)*5,IF(SUMPRODUCT((C$10:C76="Light Squat")*(N$10:N76="OK")*1)=0,ROUND(SUMPRODUCT(MAX((C$10:C76="Squat")*(N$10:N76="OK")*(F$10:F76)))*Settings!$B$37/100/5,0)*5,SUMPRODUCT(MAX((C$10:C76="Light Squat")*(N$10:N76="OK")*(F$10:F76)))+Settings!$B$38)),IF(SUMPRODUCT((C$10:C76=C77)*(N$10:N76="OK")*1)=0,IF(C77="Squat",Settings!$B$5,IF(C77="Bench Press",Settings!$B$6,IF(C77="Deadlift",Settings!$B$7,IF(C77="Overhead Press",Settings!$B$8,IF(C77="Power Clean",Settings!$B$9,0))))),SUMPRODUCT(MAX((C$10:C76=C77)*(N$10:N76="OK")*(F$10:F76)))+IF(C77="Squat",Settings!$B$12,IF(C77="Bench Press",Settings!$B$13,IF(C77="Deadlift",Settings!$B$14,IF(C77="Overhead Press",Settings!$B$15,IF(C77="Power Clean",Settings!$B$16,0)))))))))</f>
      </c>
      <c r="F77" s="28" t="s">
        <v>0</v>
      </c>
      <c r="G77" s="28" t="s">
        <v>0</v>
      </c>
      <c r="H77" s="28" t="s">
        <v>0</v>
      </c>
      <c r="I77" s="28" t="s">
        <v>0</v>
      </c>
      <c r="J77" s="44" t="s">
        <v>0</v>
      </c>
      <c r="K77" s="44" t="s">
        <v>0</v>
      </c>
      <c r="L77" s="43">
        <f>IF(C77="","",SUM(G77:K77))</f>
      </c>
      <c r="M77" s="43">
        <f>IF(C77="","",IF(NOT(OR(C77="Squat",C77="Bench Press",C77="Deadlift",C77="Overhead Press",C77="Power Clean",C77="Light Squat")),30,IF(OR(C77="Squat",C77="Bench Press",C77="Overhead Press",C77="Light Squat"),15,IF(C77="Deadlift",5,IF(C77="Power Clean",15,0)))))</f>
      </c>
      <c r="N77" s="43">
        <f>IF(C77="","",IF(NOT(OR(C77="Squat",C77="Bench Press",C77="Deadlift",C77="Overhead Press",C77="Power Clean",C77="Light Squat")),"—",IF(L77&gt;=M77,"OK","STALL")))</f>
      </c>
      <c r="O77" s="43" t="s">
        <v>0</v>
      </c>
      <c r="P77" s="43">
        <f>IF($C77="Squat",$F77,0)</f>
      </c>
      <c r="Q77" s="43">
        <f>IF($C77="Bench Press",$F77,0)</f>
      </c>
      <c r="R77" s="43">
        <f>IF($C77="Deadlift",$F77,0)</f>
      </c>
      <c r="S77" s="43">
        <f>IF($C77="Overhead Press",$F77,0)</f>
      </c>
      <c r="T77" s="43">
        <f>IF($C77="Power Clean",$F77,0)</f>
      </c>
    </row>
    <row r="78" spans="1:20" x14ac:dyDescent="0.25">
      <c r="A78" s="28" t="s">
        <v>0</v>
      </c>
      <c r="B78" s="28" t="s">
        <v>0</v>
      </c>
      <c r="C78" s="28" t="s">
        <v>0</v>
      </c>
      <c r="D78" s="43">
        <f>IF(C78="","",IF(OR(C78="Squat",C78="Bench Press",C78="Overhead Press",C78="Light Squat"),"3x5",IF(C78="Deadlift","1x5",IF(C78="Power Clean","5x3","3x10"))))</f>
      </c>
      <c r="E78" s="43">
        <f>IF(C78="","",IF(NOT(OR(C78="Squat",C78="Bench Press",C78="Deadlift",C78="Overhead Press",C78="Power Clean",C78="Light Squat")),"—",IF(C78="Light Squat",IF(COUNTIF(C$10:C77,"Light Squat")=0,ROUND(SUMPRODUCT(MAX((C$10:C77="Squat")*(N$10:N77="OK")*(F$10:F77)))*Settings!$B$37/100/5,0)*5,IF(SUMPRODUCT((C$10:C77="Light Squat")*(N$10:N77="OK")*1)=0,ROUND(SUMPRODUCT(MAX((C$10:C77="Squat")*(N$10:N77="OK")*(F$10:F77)))*Settings!$B$37/100/5,0)*5,SUMPRODUCT(MAX((C$10:C77="Light Squat")*(N$10:N77="OK")*(F$10:F77)))+Settings!$B$38)),IF(SUMPRODUCT((C$10:C77=C78)*(N$10:N77="OK")*1)=0,IF(C78="Squat",Settings!$B$5,IF(C78="Bench Press",Settings!$B$6,IF(C78="Deadlift",Settings!$B$7,IF(C78="Overhead Press",Settings!$B$8,IF(C78="Power Clean",Settings!$B$9,0))))),SUMPRODUCT(MAX((C$10:C77=C78)*(N$10:N77="OK")*(F$10:F77)))+IF(C78="Squat",Settings!$B$12,IF(C78="Bench Press",Settings!$B$13,IF(C78="Deadlift",Settings!$B$14,IF(C78="Overhead Press",Settings!$B$15,IF(C78="Power Clean",Settings!$B$16,0)))))))))</f>
      </c>
      <c r="F78" s="28" t="s">
        <v>0</v>
      </c>
      <c r="G78" s="28" t="s">
        <v>0</v>
      </c>
      <c r="H78" s="28" t="s">
        <v>0</v>
      </c>
      <c r="I78" s="28" t="s">
        <v>0</v>
      </c>
      <c r="J78" s="44" t="s">
        <v>0</v>
      </c>
      <c r="K78" s="44" t="s">
        <v>0</v>
      </c>
      <c r="L78" s="43">
        <f>IF(C78="","",SUM(G78:K78))</f>
      </c>
      <c r="M78" s="43">
        <f>IF(C78="","",IF(NOT(OR(C78="Squat",C78="Bench Press",C78="Deadlift",C78="Overhead Press",C78="Power Clean",C78="Light Squat")),30,IF(OR(C78="Squat",C78="Bench Press",C78="Overhead Press",C78="Light Squat"),15,IF(C78="Deadlift",5,IF(C78="Power Clean",15,0)))))</f>
      </c>
      <c r="N78" s="43">
        <f>IF(C78="","",IF(NOT(OR(C78="Squat",C78="Bench Press",C78="Deadlift",C78="Overhead Press",C78="Power Clean",C78="Light Squat")),"—",IF(L78&gt;=M78,"OK","STALL")))</f>
      </c>
      <c r="O78" s="43" t="s">
        <v>0</v>
      </c>
      <c r="P78" s="43">
        <f>IF($C78="Squat",$F78,0)</f>
      </c>
      <c r="Q78" s="43">
        <f>IF($C78="Bench Press",$F78,0)</f>
      </c>
      <c r="R78" s="43">
        <f>IF($C78="Deadlift",$F78,0)</f>
      </c>
      <c r="S78" s="43">
        <f>IF($C78="Overhead Press",$F78,0)</f>
      </c>
      <c r="T78" s="43">
        <f>IF($C78="Power Clean",$F78,0)</f>
      </c>
    </row>
    <row r="79" spans="1:20" x14ac:dyDescent="0.25">
      <c r="A79" s="28" t="s">
        <v>0</v>
      </c>
      <c r="B79" s="28" t="s">
        <v>0</v>
      </c>
      <c r="C79" s="28" t="s">
        <v>0</v>
      </c>
      <c r="D79" s="43">
        <f>IF(C79="","",IF(OR(C79="Squat",C79="Bench Press",C79="Overhead Press",C79="Light Squat"),"3x5",IF(C79="Deadlift","1x5",IF(C79="Power Clean","5x3","3x10"))))</f>
      </c>
      <c r="E79" s="43">
        <f>IF(C79="","",IF(NOT(OR(C79="Squat",C79="Bench Press",C79="Deadlift",C79="Overhead Press",C79="Power Clean",C79="Light Squat")),"—",IF(C79="Light Squat",IF(COUNTIF(C$10:C78,"Light Squat")=0,ROUND(SUMPRODUCT(MAX((C$10:C78="Squat")*(N$10:N78="OK")*(F$10:F78)))*Settings!$B$37/100/5,0)*5,IF(SUMPRODUCT((C$10:C78="Light Squat")*(N$10:N78="OK")*1)=0,ROUND(SUMPRODUCT(MAX((C$10:C78="Squat")*(N$10:N78="OK")*(F$10:F78)))*Settings!$B$37/100/5,0)*5,SUMPRODUCT(MAX((C$10:C78="Light Squat")*(N$10:N78="OK")*(F$10:F78)))+Settings!$B$38)),IF(SUMPRODUCT((C$10:C78=C79)*(N$10:N78="OK")*1)=0,IF(C79="Squat",Settings!$B$5,IF(C79="Bench Press",Settings!$B$6,IF(C79="Deadlift",Settings!$B$7,IF(C79="Overhead Press",Settings!$B$8,IF(C79="Power Clean",Settings!$B$9,0))))),SUMPRODUCT(MAX((C$10:C78=C79)*(N$10:N78="OK")*(F$10:F78)))+IF(C79="Squat",Settings!$B$12,IF(C79="Bench Press",Settings!$B$13,IF(C79="Deadlift",Settings!$B$14,IF(C79="Overhead Press",Settings!$B$15,IF(C79="Power Clean",Settings!$B$16,0)))))))))</f>
      </c>
      <c r="F79" s="28" t="s">
        <v>0</v>
      </c>
      <c r="G79" s="28" t="s">
        <v>0</v>
      </c>
      <c r="H79" s="28" t="s">
        <v>0</v>
      </c>
      <c r="I79" s="28" t="s">
        <v>0</v>
      </c>
      <c r="J79" s="44" t="s">
        <v>0</v>
      </c>
      <c r="K79" s="44" t="s">
        <v>0</v>
      </c>
      <c r="L79" s="43">
        <f>IF(C79="","",SUM(G79:K79))</f>
      </c>
      <c r="M79" s="43">
        <f>IF(C79="","",IF(NOT(OR(C79="Squat",C79="Bench Press",C79="Deadlift",C79="Overhead Press",C79="Power Clean",C79="Light Squat")),30,IF(OR(C79="Squat",C79="Bench Press",C79="Overhead Press",C79="Light Squat"),15,IF(C79="Deadlift",5,IF(C79="Power Clean",15,0)))))</f>
      </c>
      <c r="N79" s="43">
        <f>IF(C79="","",IF(NOT(OR(C79="Squat",C79="Bench Press",C79="Deadlift",C79="Overhead Press",C79="Power Clean",C79="Light Squat")),"—",IF(L79&gt;=M79,"OK","STALL")))</f>
      </c>
      <c r="O79" s="43" t="s">
        <v>0</v>
      </c>
      <c r="P79" s="43">
        <f>IF($C79="Squat",$F79,0)</f>
      </c>
      <c r="Q79" s="43">
        <f>IF($C79="Bench Press",$F79,0)</f>
      </c>
      <c r="R79" s="43">
        <f>IF($C79="Deadlift",$F79,0)</f>
      </c>
      <c r="S79" s="43">
        <f>IF($C79="Overhead Press",$F79,0)</f>
      </c>
      <c r="T79" s="43">
        <f>IF($C79="Power Clean",$F79,0)</f>
      </c>
    </row>
    <row r="80" spans="1:20" x14ac:dyDescent="0.25">
      <c r="A80" s="28" t="s">
        <v>0</v>
      </c>
      <c r="B80" s="28" t="s">
        <v>0</v>
      </c>
      <c r="C80" s="28" t="s">
        <v>0</v>
      </c>
      <c r="D80" s="43">
        <f>IF(C80="","",IF(OR(C80="Squat",C80="Bench Press",C80="Overhead Press",C80="Light Squat"),"3x5",IF(C80="Deadlift","1x5",IF(C80="Power Clean","5x3","3x10"))))</f>
      </c>
      <c r="E80" s="43">
        <f>IF(C80="","",IF(NOT(OR(C80="Squat",C80="Bench Press",C80="Deadlift",C80="Overhead Press",C80="Power Clean",C80="Light Squat")),"—",IF(C80="Light Squat",IF(COUNTIF(C$10:C79,"Light Squat")=0,ROUND(SUMPRODUCT(MAX((C$10:C79="Squat")*(N$10:N79="OK")*(F$10:F79)))*Settings!$B$37/100/5,0)*5,IF(SUMPRODUCT((C$10:C79="Light Squat")*(N$10:N79="OK")*1)=0,ROUND(SUMPRODUCT(MAX((C$10:C79="Squat")*(N$10:N79="OK")*(F$10:F79)))*Settings!$B$37/100/5,0)*5,SUMPRODUCT(MAX((C$10:C79="Light Squat")*(N$10:N79="OK")*(F$10:F79)))+Settings!$B$38)),IF(SUMPRODUCT((C$10:C79=C80)*(N$10:N79="OK")*1)=0,IF(C80="Squat",Settings!$B$5,IF(C80="Bench Press",Settings!$B$6,IF(C80="Deadlift",Settings!$B$7,IF(C80="Overhead Press",Settings!$B$8,IF(C80="Power Clean",Settings!$B$9,0))))),SUMPRODUCT(MAX((C$10:C79=C80)*(N$10:N79="OK")*(F$10:F79)))+IF(C80="Squat",Settings!$B$12,IF(C80="Bench Press",Settings!$B$13,IF(C80="Deadlift",Settings!$B$14,IF(C80="Overhead Press",Settings!$B$15,IF(C80="Power Clean",Settings!$B$16,0)))))))))</f>
      </c>
      <c r="F80" s="28" t="s">
        <v>0</v>
      </c>
      <c r="G80" s="28" t="s">
        <v>0</v>
      </c>
      <c r="H80" s="28" t="s">
        <v>0</v>
      </c>
      <c r="I80" s="28" t="s">
        <v>0</v>
      </c>
      <c r="J80" s="44" t="s">
        <v>0</v>
      </c>
      <c r="K80" s="44" t="s">
        <v>0</v>
      </c>
      <c r="L80" s="43">
        <f>IF(C80="","",SUM(G80:K80))</f>
      </c>
      <c r="M80" s="43">
        <f>IF(C80="","",IF(NOT(OR(C80="Squat",C80="Bench Press",C80="Deadlift",C80="Overhead Press",C80="Power Clean",C80="Light Squat")),30,IF(OR(C80="Squat",C80="Bench Press",C80="Overhead Press",C80="Light Squat"),15,IF(C80="Deadlift",5,IF(C80="Power Clean",15,0)))))</f>
      </c>
      <c r="N80" s="43">
        <f>IF(C80="","",IF(NOT(OR(C80="Squat",C80="Bench Press",C80="Deadlift",C80="Overhead Press",C80="Power Clean",C80="Light Squat")),"—",IF(L80&gt;=M80,"OK","STALL")))</f>
      </c>
      <c r="O80" s="43" t="s">
        <v>0</v>
      </c>
      <c r="P80" s="43">
        <f>IF($C80="Squat",$F80,0)</f>
      </c>
      <c r="Q80" s="43">
        <f>IF($C80="Bench Press",$F80,0)</f>
      </c>
      <c r="R80" s="43">
        <f>IF($C80="Deadlift",$F80,0)</f>
      </c>
      <c r="S80" s="43">
        <f>IF($C80="Overhead Press",$F80,0)</f>
      </c>
      <c r="T80" s="43">
        <f>IF($C80="Power Clean",$F80,0)</f>
      </c>
    </row>
    <row r="81" spans="1:20" x14ac:dyDescent="0.25">
      <c r="A81" s="28" t="s">
        <v>0</v>
      </c>
      <c r="B81" s="28" t="s">
        <v>0</v>
      </c>
      <c r="C81" s="28" t="s">
        <v>0</v>
      </c>
      <c r="D81" s="43">
        <f>IF(C81="","",IF(OR(C81="Squat",C81="Bench Press",C81="Overhead Press",C81="Light Squat"),"3x5",IF(C81="Deadlift","1x5",IF(C81="Power Clean","5x3","3x10"))))</f>
      </c>
      <c r="E81" s="43">
        <f>IF(C81="","",IF(NOT(OR(C81="Squat",C81="Bench Press",C81="Deadlift",C81="Overhead Press",C81="Power Clean",C81="Light Squat")),"—",IF(C81="Light Squat",IF(COUNTIF(C$10:C80,"Light Squat")=0,ROUND(SUMPRODUCT(MAX((C$10:C80="Squat")*(N$10:N80="OK")*(F$10:F80)))*Settings!$B$37/100/5,0)*5,IF(SUMPRODUCT((C$10:C80="Light Squat")*(N$10:N80="OK")*1)=0,ROUND(SUMPRODUCT(MAX((C$10:C80="Squat")*(N$10:N80="OK")*(F$10:F80)))*Settings!$B$37/100/5,0)*5,SUMPRODUCT(MAX((C$10:C80="Light Squat")*(N$10:N80="OK")*(F$10:F80)))+Settings!$B$38)),IF(SUMPRODUCT((C$10:C80=C81)*(N$10:N80="OK")*1)=0,IF(C81="Squat",Settings!$B$5,IF(C81="Bench Press",Settings!$B$6,IF(C81="Deadlift",Settings!$B$7,IF(C81="Overhead Press",Settings!$B$8,IF(C81="Power Clean",Settings!$B$9,0))))),SUMPRODUCT(MAX((C$10:C80=C81)*(N$10:N80="OK")*(F$10:F80)))+IF(C81="Squat",Settings!$B$12,IF(C81="Bench Press",Settings!$B$13,IF(C81="Deadlift",Settings!$B$14,IF(C81="Overhead Press",Settings!$B$15,IF(C81="Power Clean",Settings!$B$16,0)))))))))</f>
      </c>
      <c r="F81" s="28" t="s">
        <v>0</v>
      </c>
      <c r="G81" s="28" t="s">
        <v>0</v>
      </c>
      <c r="H81" s="28" t="s">
        <v>0</v>
      </c>
      <c r="I81" s="28" t="s">
        <v>0</v>
      </c>
      <c r="J81" s="44" t="s">
        <v>0</v>
      </c>
      <c r="K81" s="44" t="s">
        <v>0</v>
      </c>
      <c r="L81" s="43">
        <f>IF(C81="","",SUM(G81:K81))</f>
      </c>
      <c r="M81" s="43">
        <f>IF(C81="","",IF(NOT(OR(C81="Squat",C81="Bench Press",C81="Deadlift",C81="Overhead Press",C81="Power Clean",C81="Light Squat")),30,IF(OR(C81="Squat",C81="Bench Press",C81="Overhead Press",C81="Light Squat"),15,IF(C81="Deadlift",5,IF(C81="Power Clean",15,0)))))</f>
      </c>
      <c r="N81" s="43">
        <f>IF(C81="","",IF(NOT(OR(C81="Squat",C81="Bench Press",C81="Deadlift",C81="Overhead Press",C81="Power Clean",C81="Light Squat")),"—",IF(L81&gt;=M81,"OK","STALL")))</f>
      </c>
      <c r="O81" s="43" t="s">
        <v>0</v>
      </c>
      <c r="P81" s="43">
        <f>IF($C81="Squat",$F81,0)</f>
      </c>
      <c r="Q81" s="43">
        <f>IF($C81="Bench Press",$F81,0)</f>
      </c>
      <c r="R81" s="43">
        <f>IF($C81="Deadlift",$F81,0)</f>
      </c>
      <c r="S81" s="43">
        <f>IF($C81="Overhead Press",$F81,0)</f>
      </c>
      <c r="T81" s="43">
        <f>IF($C81="Power Clean",$F81,0)</f>
      </c>
    </row>
    <row r="82" spans="1:20" x14ac:dyDescent="0.25">
      <c r="A82" s="28" t="s">
        <v>0</v>
      </c>
      <c r="B82" s="28" t="s">
        <v>0</v>
      </c>
      <c r="C82" s="28" t="s">
        <v>0</v>
      </c>
      <c r="D82" s="43">
        <f>IF(C82="","",IF(OR(C82="Squat",C82="Bench Press",C82="Overhead Press",C82="Light Squat"),"3x5",IF(C82="Deadlift","1x5",IF(C82="Power Clean","5x3","3x10"))))</f>
      </c>
      <c r="E82" s="43">
        <f>IF(C82="","",IF(NOT(OR(C82="Squat",C82="Bench Press",C82="Deadlift",C82="Overhead Press",C82="Power Clean",C82="Light Squat")),"—",IF(C82="Light Squat",IF(COUNTIF(C$10:C81,"Light Squat")=0,ROUND(SUMPRODUCT(MAX((C$10:C81="Squat")*(N$10:N81="OK")*(F$10:F81)))*Settings!$B$37/100/5,0)*5,IF(SUMPRODUCT((C$10:C81="Light Squat")*(N$10:N81="OK")*1)=0,ROUND(SUMPRODUCT(MAX((C$10:C81="Squat")*(N$10:N81="OK")*(F$10:F81)))*Settings!$B$37/100/5,0)*5,SUMPRODUCT(MAX((C$10:C81="Light Squat")*(N$10:N81="OK")*(F$10:F81)))+Settings!$B$38)),IF(SUMPRODUCT((C$10:C81=C82)*(N$10:N81="OK")*1)=0,IF(C82="Squat",Settings!$B$5,IF(C82="Bench Press",Settings!$B$6,IF(C82="Deadlift",Settings!$B$7,IF(C82="Overhead Press",Settings!$B$8,IF(C82="Power Clean",Settings!$B$9,0))))),SUMPRODUCT(MAX((C$10:C81=C82)*(N$10:N81="OK")*(F$10:F81)))+IF(C82="Squat",Settings!$B$12,IF(C82="Bench Press",Settings!$B$13,IF(C82="Deadlift",Settings!$B$14,IF(C82="Overhead Press",Settings!$B$15,IF(C82="Power Clean",Settings!$B$16,0)))))))))</f>
      </c>
      <c r="F82" s="28" t="s">
        <v>0</v>
      </c>
      <c r="G82" s="28" t="s">
        <v>0</v>
      </c>
      <c r="H82" s="28" t="s">
        <v>0</v>
      </c>
      <c r="I82" s="28" t="s">
        <v>0</v>
      </c>
      <c r="J82" s="44" t="s">
        <v>0</v>
      </c>
      <c r="K82" s="44" t="s">
        <v>0</v>
      </c>
      <c r="L82" s="43">
        <f>IF(C82="","",SUM(G82:K82))</f>
      </c>
      <c r="M82" s="43">
        <f>IF(C82="","",IF(NOT(OR(C82="Squat",C82="Bench Press",C82="Deadlift",C82="Overhead Press",C82="Power Clean",C82="Light Squat")),30,IF(OR(C82="Squat",C82="Bench Press",C82="Overhead Press",C82="Light Squat"),15,IF(C82="Deadlift",5,IF(C82="Power Clean",15,0)))))</f>
      </c>
      <c r="N82" s="43">
        <f>IF(C82="","",IF(NOT(OR(C82="Squat",C82="Bench Press",C82="Deadlift",C82="Overhead Press",C82="Power Clean",C82="Light Squat")),"—",IF(L82&gt;=M82,"OK","STALL")))</f>
      </c>
      <c r="O82" s="43" t="s">
        <v>0</v>
      </c>
      <c r="P82" s="43">
        <f>IF($C82="Squat",$F82,0)</f>
      </c>
      <c r="Q82" s="43">
        <f>IF($C82="Bench Press",$F82,0)</f>
      </c>
      <c r="R82" s="43">
        <f>IF($C82="Deadlift",$F82,0)</f>
      </c>
      <c r="S82" s="43">
        <f>IF($C82="Overhead Press",$F82,0)</f>
      </c>
      <c r="T82" s="43">
        <f>IF($C82="Power Clean",$F82,0)</f>
      </c>
    </row>
    <row r="83" spans="1:20" x14ac:dyDescent="0.25">
      <c r="A83" s="28" t="s">
        <v>0</v>
      </c>
      <c r="B83" s="28" t="s">
        <v>0</v>
      </c>
      <c r="C83" s="28" t="s">
        <v>0</v>
      </c>
      <c r="D83" s="43">
        <f>IF(C83="","",IF(OR(C83="Squat",C83="Bench Press",C83="Overhead Press",C83="Light Squat"),"3x5",IF(C83="Deadlift","1x5",IF(C83="Power Clean","5x3","3x10"))))</f>
      </c>
      <c r="E83" s="43">
        <f>IF(C83="","",IF(NOT(OR(C83="Squat",C83="Bench Press",C83="Deadlift",C83="Overhead Press",C83="Power Clean",C83="Light Squat")),"—",IF(C83="Light Squat",IF(COUNTIF(C$10:C82,"Light Squat")=0,ROUND(SUMPRODUCT(MAX((C$10:C82="Squat")*(N$10:N82="OK")*(F$10:F82)))*Settings!$B$37/100/5,0)*5,IF(SUMPRODUCT((C$10:C82="Light Squat")*(N$10:N82="OK")*1)=0,ROUND(SUMPRODUCT(MAX((C$10:C82="Squat")*(N$10:N82="OK")*(F$10:F82)))*Settings!$B$37/100/5,0)*5,SUMPRODUCT(MAX((C$10:C82="Light Squat")*(N$10:N82="OK")*(F$10:F82)))+Settings!$B$38)),IF(SUMPRODUCT((C$10:C82=C83)*(N$10:N82="OK")*1)=0,IF(C83="Squat",Settings!$B$5,IF(C83="Bench Press",Settings!$B$6,IF(C83="Deadlift",Settings!$B$7,IF(C83="Overhead Press",Settings!$B$8,IF(C83="Power Clean",Settings!$B$9,0))))),SUMPRODUCT(MAX((C$10:C82=C83)*(N$10:N82="OK")*(F$10:F82)))+IF(C83="Squat",Settings!$B$12,IF(C83="Bench Press",Settings!$B$13,IF(C83="Deadlift",Settings!$B$14,IF(C83="Overhead Press",Settings!$B$15,IF(C83="Power Clean",Settings!$B$16,0)))))))))</f>
      </c>
      <c r="F83" s="28" t="s">
        <v>0</v>
      </c>
      <c r="G83" s="28" t="s">
        <v>0</v>
      </c>
      <c r="H83" s="28" t="s">
        <v>0</v>
      </c>
      <c r="I83" s="28" t="s">
        <v>0</v>
      </c>
      <c r="J83" s="44" t="s">
        <v>0</v>
      </c>
      <c r="K83" s="44" t="s">
        <v>0</v>
      </c>
      <c r="L83" s="43">
        <f>IF(C83="","",SUM(G83:K83))</f>
      </c>
      <c r="M83" s="43">
        <f>IF(C83="","",IF(NOT(OR(C83="Squat",C83="Bench Press",C83="Deadlift",C83="Overhead Press",C83="Power Clean",C83="Light Squat")),30,IF(OR(C83="Squat",C83="Bench Press",C83="Overhead Press",C83="Light Squat"),15,IF(C83="Deadlift",5,IF(C83="Power Clean",15,0)))))</f>
      </c>
      <c r="N83" s="43">
        <f>IF(C83="","",IF(NOT(OR(C83="Squat",C83="Bench Press",C83="Deadlift",C83="Overhead Press",C83="Power Clean",C83="Light Squat")),"—",IF(L83&gt;=M83,"OK","STALL")))</f>
      </c>
      <c r="O83" s="43" t="s">
        <v>0</v>
      </c>
      <c r="P83" s="43">
        <f>IF($C83="Squat",$F83,0)</f>
      </c>
      <c r="Q83" s="43">
        <f>IF($C83="Bench Press",$F83,0)</f>
      </c>
      <c r="R83" s="43">
        <f>IF($C83="Deadlift",$F83,0)</f>
      </c>
      <c r="S83" s="43">
        <f>IF($C83="Overhead Press",$F83,0)</f>
      </c>
      <c r="T83" s="43">
        <f>IF($C83="Power Clean",$F83,0)</f>
      </c>
    </row>
    <row r="84" spans="1:20" x14ac:dyDescent="0.25">
      <c r="A84" s="28" t="s">
        <v>0</v>
      </c>
      <c r="B84" s="28" t="s">
        <v>0</v>
      </c>
      <c r="C84" s="28" t="s">
        <v>0</v>
      </c>
      <c r="D84" s="43">
        <f>IF(C84="","",IF(OR(C84="Squat",C84="Bench Press",C84="Overhead Press",C84="Light Squat"),"3x5",IF(C84="Deadlift","1x5",IF(C84="Power Clean","5x3","3x10"))))</f>
      </c>
      <c r="E84" s="43">
        <f>IF(C84="","",IF(NOT(OR(C84="Squat",C84="Bench Press",C84="Deadlift",C84="Overhead Press",C84="Power Clean",C84="Light Squat")),"—",IF(C84="Light Squat",IF(COUNTIF(C$10:C83,"Light Squat")=0,ROUND(SUMPRODUCT(MAX((C$10:C83="Squat")*(N$10:N83="OK")*(F$10:F83)))*Settings!$B$37/100/5,0)*5,IF(SUMPRODUCT((C$10:C83="Light Squat")*(N$10:N83="OK")*1)=0,ROUND(SUMPRODUCT(MAX((C$10:C83="Squat")*(N$10:N83="OK")*(F$10:F83)))*Settings!$B$37/100/5,0)*5,SUMPRODUCT(MAX((C$10:C83="Light Squat")*(N$10:N83="OK")*(F$10:F83)))+Settings!$B$38)),IF(SUMPRODUCT((C$10:C83=C84)*(N$10:N83="OK")*1)=0,IF(C84="Squat",Settings!$B$5,IF(C84="Bench Press",Settings!$B$6,IF(C84="Deadlift",Settings!$B$7,IF(C84="Overhead Press",Settings!$B$8,IF(C84="Power Clean",Settings!$B$9,0))))),SUMPRODUCT(MAX((C$10:C83=C84)*(N$10:N83="OK")*(F$10:F83)))+IF(C84="Squat",Settings!$B$12,IF(C84="Bench Press",Settings!$B$13,IF(C84="Deadlift",Settings!$B$14,IF(C84="Overhead Press",Settings!$B$15,IF(C84="Power Clean",Settings!$B$16,0)))))))))</f>
      </c>
      <c r="F84" s="28" t="s">
        <v>0</v>
      </c>
      <c r="G84" s="28" t="s">
        <v>0</v>
      </c>
      <c r="H84" s="28" t="s">
        <v>0</v>
      </c>
      <c r="I84" s="28" t="s">
        <v>0</v>
      </c>
      <c r="J84" s="44" t="s">
        <v>0</v>
      </c>
      <c r="K84" s="44" t="s">
        <v>0</v>
      </c>
      <c r="L84" s="43">
        <f>IF(C84="","",SUM(G84:K84))</f>
      </c>
      <c r="M84" s="43">
        <f>IF(C84="","",IF(NOT(OR(C84="Squat",C84="Bench Press",C84="Deadlift",C84="Overhead Press",C84="Power Clean",C84="Light Squat")),30,IF(OR(C84="Squat",C84="Bench Press",C84="Overhead Press",C84="Light Squat"),15,IF(C84="Deadlift",5,IF(C84="Power Clean",15,0)))))</f>
      </c>
      <c r="N84" s="43">
        <f>IF(C84="","",IF(NOT(OR(C84="Squat",C84="Bench Press",C84="Deadlift",C84="Overhead Press",C84="Power Clean",C84="Light Squat")),"—",IF(L84&gt;=M84,"OK","STALL")))</f>
      </c>
      <c r="O84" s="43" t="s">
        <v>0</v>
      </c>
      <c r="P84" s="43">
        <f>IF($C84="Squat",$F84,0)</f>
      </c>
      <c r="Q84" s="43">
        <f>IF($C84="Bench Press",$F84,0)</f>
      </c>
      <c r="R84" s="43">
        <f>IF($C84="Deadlift",$F84,0)</f>
      </c>
      <c r="S84" s="43">
        <f>IF($C84="Overhead Press",$F84,0)</f>
      </c>
      <c r="T84" s="43">
        <f>IF($C84="Power Clean",$F84,0)</f>
      </c>
    </row>
    <row r="85" spans="1:20" x14ac:dyDescent="0.25">
      <c r="A85" s="28" t="s">
        <v>0</v>
      </c>
      <c r="B85" s="28" t="s">
        <v>0</v>
      </c>
      <c r="C85" s="28" t="s">
        <v>0</v>
      </c>
      <c r="D85" s="43">
        <f>IF(C85="","",IF(OR(C85="Squat",C85="Bench Press",C85="Overhead Press",C85="Light Squat"),"3x5",IF(C85="Deadlift","1x5",IF(C85="Power Clean","5x3","3x10"))))</f>
      </c>
      <c r="E85" s="43">
        <f>IF(C85="","",IF(NOT(OR(C85="Squat",C85="Bench Press",C85="Deadlift",C85="Overhead Press",C85="Power Clean",C85="Light Squat")),"—",IF(C85="Light Squat",IF(COUNTIF(C$10:C84,"Light Squat")=0,ROUND(SUMPRODUCT(MAX((C$10:C84="Squat")*(N$10:N84="OK")*(F$10:F84)))*Settings!$B$37/100/5,0)*5,IF(SUMPRODUCT((C$10:C84="Light Squat")*(N$10:N84="OK")*1)=0,ROUND(SUMPRODUCT(MAX((C$10:C84="Squat")*(N$10:N84="OK")*(F$10:F84)))*Settings!$B$37/100/5,0)*5,SUMPRODUCT(MAX((C$10:C84="Light Squat")*(N$10:N84="OK")*(F$10:F84)))+Settings!$B$38)),IF(SUMPRODUCT((C$10:C84=C85)*(N$10:N84="OK")*1)=0,IF(C85="Squat",Settings!$B$5,IF(C85="Bench Press",Settings!$B$6,IF(C85="Deadlift",Settings!$B$7,IF(C85="Overhead Press",Settings!$B$8,IF(C85="Power Clean",Settings!$B$9,0))))),SUMPRODUCT(MAX((C$10:C84=C85)*(N$10:N84="OK")*(F$10:F84)))+IF(C85="Squat",Settings!$B$12,IF(C85="Bench Press",Settings!$B$13,IF(C85="Deadlift",Settings!$B$14,IF(C85="Overhead Press",Settings!$B$15,IF(C85="Power Clean",Settings!$B$16,0)))))))))</f>
      </c>
      <c r="F85" s="28" t="s">
        <v>0</v>
      </c>
      <c r="G85" s="28" t="s">
        <v>0</v>
      </c>
      <c r="H85" s="28" t="s">
        <v>0</v>
      </c>
      <c r="I85" s="28" t="s">
        <v>0</v>
      </c>
      <c r="J85" s="44" t="s">
        <v>0</v>
      </c>
      <c r="K85" s="44" t="s">
        <v>0</v>
      </c>
      <c r="L85" s="43">
        <f>IF(C85="","",SUM(G85:K85))</f>
      </c>
      <c r="M85" s="43">
        <f>IF(C85="","",IF(NOT(OR(C85="Squat",C85="Bench Press",C85="Deadlift",C85="Overhead Press",C85="Power Clean",C85="Light Squat")),30,IF(OR(C85="Squat",C85="Bench Press",C85="Overhead Press",C85="Light Squat"),15,IF(C85="Deadlift",5,IF(C85="Power Clean",15,0)))))</f>
      </c>
      <c r="N85" s="43">
        <f>IF(C85="","",IF(NOT(OR(C85="Squat",C85="Bench Press",C85="Deadlift",C85="Overhead Press",C85="Power Clean",C85="Light Squat")),"—",IF(L85&gt;=M85,"OK","STALL")))</f>
      </c>
      <c r="O85" s="43" t="s">
        <v>0</v>
      </c>
      <c r="P85" s="43">
        <f>IF($C85="Squat",$F85,0)</f>
      </c>
      <c r="Q85" s="43">
        <f>IF($C85="Bench Press",$F85,0)</f>
      </c>
      <c r="R85" s="43">
        <f>IF($C85="Deadlift",$F85,0)</f>
      </c>
      <c r="S85" s="43">
        <f>IF($C85="Overhead Press",$F85,0)</f>
      </c>
      <c r="T85" s="43">
        <f>IF($C85="Power Clean",$F85,0)</f>
      </c>
    </row>
    <row r="86" spans="1:20" x14ac:dyDescent="0.25">
      <c r="A86" s="28" t="s">
        <v>0</v>
      </c>
      <c r="B86" s="28" t="s">
        <v>0</v>
      </c>
      <c r="C86" s="28" t="s">
        <v>0</v>
      </c>
      <c r="D86" s="43">
        <f>IF(C86="","",IF(OR(C86="Squat",C86="Bench Press",C86="Overhead Press",C86="Light Squat"),"3x5",IF(C86="Deadlift","1x5",IF(C86="Power Clean","5x3","3x10"))))</f>
      </c>
      <c r="E86" s="43">
        <f>IF(C86="","",IF(NOT(OR(C86="Squat",C86="Bench Press",C86="Deadlift",C86="Overhead Press",C86="Power Clean",C86="Light Squat")),"—",IF(C86="Light Squat",IF(COUNTIF(C$10:C85,"Light Squat")=0,ROUND(SUMPRODUCT(MAX((C$10:C85="Squat")*(N$10:N85="OK")*(F$10:F85)))*Settings!$B$37/100/5,0)*5,IF(SUMPRODUCT((C$10:C85="Light Squat")*(N$10:N85="OK")*1)=0,ROUND(SUMPRODUCT(MAX((C$10:C85="Squat")*(N$10:N85="OK")*(F$10:F85)))*Settings!$B$37/100/5,0)*5,SUMPRODUCT(MAX((C$10:C85="Light Squat")*(N$10:N85="OK")*(F$10:F85)))+Settings!$B$38)),IF(SUMPRODUCT((C$10:C85=C86)*(N$10:N85="OK")*1)=0,IF(C86="Squat",Settings!$B$5,IF(C86="Bench Press",Settings!$B$6,IF(C86="Deadlift",Settings!$B$7,IF(C86="Overhead Press",Settings!$B$8,IF(C86="Power Clean",Settings!$B$9,0))))),SUMPRODUCT(MAX((C$10:C85=C86)*(N$10:N85="OK")*(F$10:F85)))+IF(C86="Squat",Settings!$B$12,IF(C86="Bench Press",Settings!$B$13,IF(C86="Deadlift",Settings!$B$14,IF(C86="Overhead Press",Settings!$B$15,IF(C86="Power Clean",Settings!$B$16,0)))))))))</f>
      </c>
      <c r="F86" s="28" t="s">
        <v>0</v>
      </c>
      <c r="G86" s="28" t="s">
        <v>0</v>
      </c>
      <c r="H86" s="28" t="s">
        <v>0</v>
      </c>
      <c r="I86" s="28" t="s">
        <v>0</v>
      </c>
      <c r="J86" s="44" t="s">
        <v>0</v>
      </c>
      <c r="K86" s="44" t="s">
        <v>0</v>
      </c>
      <c r="L86" s="43">
        <f>IF(C86="","",SUM(G86:K86))</f>
      </c>
      <c r="M86" s="43">
        <f>IF(C86="","",IF(NOT(OR(C86="Squat",C86="Bench Press",C86="Deadlift",C86="Overhead Press",C86="Power Clean",C86="Light Squat")),30,IF(OR(C86="Squat",C86="Bench Press",C86="Overhead Press",C86="Light Squat"),15,IF(C86="Deadlift",5,IF(C86="Power Clean",15,0)))))</f>
      </c>
      <c r="N86" s="43">
        <f>IF(C86="","",IF(NOT(OR(C86="Squat",C86="Bench Press",C86="Deadlift",C86="Overhead Press",C86="Power Clean",C86="Light Squat")),"—",IF(L86&gt;=M86,"OK","STALL")))</f>
      </c>
      <c r="O86" s="43" t="s">
        <v>0</v>
      </c>
      <c r="P86" s="43">
        <f>IF($C86="Squat",$F86,0)</f>
      </c>
      <c r="Q86" s="43">
        <f>IF($C86="Bench Press",$F86,0)</f>
      </c>
      <c r="R86" s="43">
        <f>IF($C86="Deadlift",$F86,0)</f>
      </c>
      <c r="S86" s="43">
        <f>IF($C86="Overhead Press",$F86,0)</f>
      </c>
      <c r="T86" s="43">
        <f>IF($C86="Power Clean",$F86,0)</f>
      </c>
    </row>
    <row r="87" spans="1:20" x14ac:dyDescent="0.25">
      <c r="A87" s="28" t="s">
        <v>0</v>
      </c>
      <c r="B87" s="28" t="s">
        <v>0</v>
      </c>
      <c r="C87" s="28" t="s">
        <v>0</v>
      </c>
      <c r="D87" s="43">
        <f>IF(C87="","",IF(OR(C87="Squat",C87="Bench Press",C87="Overhead Press",C87="Light Squat"),"3x5",IF(C87="Deadlift","1x5",IF(C87="Power Clean","5x3","3x10"))))</f>
      </c>
      <c r="E87" s="43">
        <f>IF(C87="","",IF(NOT(OR(C87="Squat",C87="Bench Press",C87="Deadlift",C87="Overhead Press",C87="Power Clean",C87="Light Squat")),"—",IF(C87="Light Squat",IF(COUNTIF(C$10:C86,"Light Squat")=0,ROUND(SUMPRODUCT(MAX((C$10:C86="Squat")*(N$10:N86="OK")*(F$10:F86)))*Settings!$B$37/100/5,0)*5,IF(SUMPRODUCT((C$10:C86="Light Squat")*(N$10:N86="OK")*1)=0,ROUND(SUMPRODUCT(MAX((C$10:C86="Squat")*(N$10:N86="OK")*(F$10:F86)))*Settings!$B$37/100/5,0)*5,SUMPRODUCT(MAX((C$10:C86="Light Squat")*(N$10:N86="OK")*(F$10:F86)))+Settings!$B$38)),IF(SUMPRODUCT((C$10:C86=C87)*(N$10:N86="OK")*1)=0,IF(C87="Squat",Settings!$B$5,IF(C87="Bench Press",Settings!$B$6,IF(C87="Deadlift",Settings!$B$7,IF(C87="Overhead Press",Settings!$B$8,IF(C87="Power Clean",Settings!$B$9,0))))),SUMPRODUCT(MAX((C$10:C86=C87)*(N$10:N86="OK")*(F$10:F86)))+IF(C87="Squat",Settings!$B$12,IF(C87="Bench Press",Settings!$B$13,IF(C87="Deadlift",Settings!$B$14,IF(C87="Overhead Press",Settings!$B$15,IF(C87="Power Clean",Settings!$B$16,0)))))))))</f>
      </c>
      <c r="F87" s="28" t="s">
        <v>0</v>
      </c>
      <c r="G87" s="28" t="s">
        <v>0</v>
      </c>
      <c r="H87" s="28" t="s">
        <v>0</v>
      </c>
      <c r="I87" s="28" t="s">
        <v>0</v>
      </c>
      <c r="J87" s="44" t="s">
        <v>0</v>
      </c>
      <c r="K87" s="44" t="s">
        <v>0</v>
      </c>
      <c r="L87" s="43">
        <f>IF(C87="","",SUM(G87:K87))</f>
      </c>
      <c r="M87" s="43">
        <f>IF(C87="","",IF(NOT(OR(C87="Squat",C87="Bench Press",C87="Deadlift",C87="Overhead Press",C87="Power Clean",C87="Light Squat")),30,IF(OR(C87="Squat",C87="Bench Press",C87="Overhead Press",C87="Light Squat"),15,IF(C87="Deadlift",5,IF(C87="Power Clean",15,0)))))</f>
      </c>
      <c r="N87" s="43">
        <f>IF(C87="","",IF(NOT(OR(C87="Squat",C87="Bench Press",C87="Deadlift",C87="Overhead Press",C87="Power Clean",C87="Light Squat")),"—",IF(L87&gt;=M87,"OK","STALL")))</f>
      </c>
      <c r="O87" s="43" t="s">
        <v>0</v>
      </c>
      <c r="P87" s="43">
        <f>IF($C87="Squat",$F87,0)</f>
      </c>
      <c r="Q87" s="43">
        <f>IF($C87="Bench Press",$F87,0)</f>
      </c>
      <c r="R87" s="43">
        <f>IF($C87="Deadlift",$F87,0)</f>
      </c>
      <c r="S87" s="43">
        <f>IF($C87="Overhead Press",$F87,0)</f>
      </c>
      <c r="T87" s="43">
        <f>IF($C87="Power Clean",$F87,0)</f>
      </c>
    </row>
    <row r="88" spans="1:20" x14ac:dyDescent="0.25">
      <c r="A88" s="28" t="s">
        <v>0</v>
      </c>
      <c r="B88" s="28" t="s">
        <v>0</v>
      </c>
      <c r="C88" s="28" t="s">
        <v>0</v>
      </c>
      <c r="D88" s="43">
        <f>IF(C88="","",IF(OR(C88="Squat",C88="Bench Press",C88="Overhead Press",C88="Light Squat"),"3x5",IF(C88="Deadlift","1x5",IF(C88="Power Clean","5x3","3x10"))))</f>
      </c>
      <c r="E88" s="43">
        <f>IF(C88="","",IF(NOT(OR(C88="Squat",C88="Bench Press",C88="Deadlift",C88="Overhead Press",C88="Power Clean",C88="Light Squat")),"—",IF(C88="Light Squat",IF(COUNTIF(C$10:C87,"Light Squat")=0,ROUND(SUMPRODUCT(MAX((C$10:C87="Squat")*(N$10:N87="OK")*(F$10:F87)))*Settings!$B$37/100/5,0)*5,IF(SUMPRODUCT((C$10:C87="Light Squat")*(N$10:N87="OK")*1)=0,ROUND(SUMPRODUCT(MAX((C$10:C87="Squat")*(N$10:N87="OK")*(F$10:F87)))*Settings!$B$37/100/5,0)*5,SUMPRODUCT(MAX((C$10:C87="Light Squat")*(N$10:N87="OK")*(F$10:F87)))+Settings!$B$38)),IF(SUMPRODUCT((C$10:C87=C88)*(N$10:N87="OK")*1)=0,IF(C88="Squat",Settings!$B$5,IF(C88="Bench Press",Settings!$B$6,IF(C88="Deadlift",Settings!$B$7,IF(C88="Overhead Press",Settings!$B$8,IF(C88="Power Clean",Settings!$B$9,0))))),SUMPRODUCT(MAX((C$10:C87=C88)*(N$10:N87="OK")*(F$10:F87)))+IF(C88="Squat",Settings!$B$12,IF(C88="Bench Press",Settings!$B$13,IF(C88="Deadlift",Settings!$B$14,IF(C88="Overhead Press",Settings!$B$15,IF(C88="Power Clean",Settings!$B$16,0)))))))))</f>
      </c>
      <c r="F88" s="28" t="s">
        <v>0</v>
      </c>
      <c r="G88" s="28" t="s">
        <v>0</v>
      </c>
      <c r="H88" s="28" t="s">
        <v>0</v>
      </c>
      <c r="I88" s="28" t="s">
        <v>0</v>
      </c>
      <c r="J88" s="44" t="s">
        <v>0</v>
      </c>
      <c r="K88" s="44" t="s">
        <v>0</v>
      </c>
      <c r="L88" s="43">
        <f>IF(C88="","",SUM(G88:K88))</f>
      </c>
      <c r="M88" s="43">
        <f>IF(C88="","",IF(NOT(OR(C88="Squat",C88="Bench Press",C88="Deadlift",C88="Overhead Press",C88="Power Clean",C88="Light Squat")),30,IF(OR(C88="Squat",C88="Bench Press",C88="Overhead Press",C88="Light Squat"),15,IF(C88="Deadlift",5,IF(C88="Power Clean",15,0)))))</f>
      </c>
      <c r="N88" s="43">
        <f>IF(C88="","",IF(NOT(OR(C88="Squat",C88="Bench Press",C88="Deadlift",C88="Overhead Press",C88="Power Clean",C88="Light Squat")),"—",IF(L88&gt;=M88,"OK","STALL")))</f>
      </c>
      <c r="O88" s="43" t="s">
        <v>0</v>
      </c>
      <c r="P88" s="43">
        <f>IF($C88="Squat",$F88,0)</f>
      </c>
      <c r="Q88" s="43">
        <f>IF($C88="Bench Press",$F88,0)</f>
      </c>
      <c r="R88" s="43">
        <f>IF($C88="Deadlift",$F88,0)</f>
      </c>
      <c r="S88" s="43">
        <f>IF($C88="Overhead Press",$F88,0)</f>
      </c>
      <c r="T88" s="43">
        <f>IF($C88="Power Clean",$F88,0)</f>
      </c>
    </row>
    <row r="89" spans="1:20" x14ac:dyDescent="0.25">
      <c r="A89" s="28" t="s">
        <v>0</v>
      </c>
      <c r="B89" s="28" t="s">
        <v>0</v>
      </c>
      <c r="C89" s="28" t="s">
        <v>0</v>
      </c>
      <c r="D89" s="43">
        <f>IF(C89="","",IF(OR(C89="Squat",C89="Bench Press",C89="Overhead Press",C89="Light Squat"),"3x5",IF(C89="Deadlift","1x5",IF(C89="Power Clean","5x3","3x10"))))</f>
      </c>
      <c r="E89" s="43">
        <f>IF(C89="","",IF(NOT(OR(C89="Squat",C89="Bench Press",C89="Deadlift",C89="Overhead Press",C89="Power Clean",C89="Light Squat")),"—",IF(C89="Light Squat",IF(COUNTIF(C$10:C88,"Light Squat")=0,ROUND(SUMPRODUCT(MAX((C$10:C88="Squat")*(N$10:N88="OK")*(F$10:F88)))*Settings!$B$37/100/5,0)*5,IF(SUMPRODUCT((C$10:C88="Light Squat")*(N$10:N88="OK")*1)=0,ROUND(SUMPRODUCT(MAX((C$10:C88="Squat")*(N$10:N88="OK")*(F$10:F88)))*Settings!$B$37/100/5,0)*5,SUMPRODUCT(MAX((C$10:C88="Light Squat")*(N$10:N88="OK")*(F$10:F88)))+Settings!$B$38)),IF(SUMPRODUCT((C$10:C88=C89)*(N$10:N88="OK")*1)=0,IF(C89="Squat",Settings!$B$5,IF(C89="Bench Press",Settings!$B$6,IF(C89="Deadlift",Settings!$B$7,IF(C89="Overhead Press",Settings!$B$8,IF(C89="Power Clean",Settings!$B$9,0))))),SUMPRODUCT(MAX((C$10:C88=C89)*(N$10:N88="OK")*(F$10:F88)))+IF(C89="Squat",Settings!$B$12,IF(C89="Bench Press",Settings!$B$13,IF(C89="Deadlift",Settings!$B$14,IF(C89="Overhead Press",Settings!$B$15,IF(C89="Power Clean",Settings!$B$16,0)))))))))</f>
      </c>
      <c r="F89" s="28" t="s">
        <v>0</v>
      </c>
      <c r="G89" s="28" t="s">
        <v>0</v>
      </c>
      <c r="H89" s="28" t="s">
        <v>0</v>
      </c>
      <c r="I89" s="28" t="s">
        <v>0</v>
      </c>
      <c r="J89" s="44" t="s">
        <v>0</v>
      </c>
      <c r="K89" s="44" t="s">
        <v>0</v>
      </c>
      <c r="L89" s="43">
        <f>IF(C89="","",SUM(G89:K89))</f>
      </c>
      <c r="M89" s="43">
        <f>IF(C89="","",IF(NOT(OR(C89="Squat",C89="Bench Press",C89="Deadlift",C89="Overhead Press",C89="Power Clean",C89="Light Squat")),30,IF(OR(C89="Squat",C89="Bench Press",C89="Overhead Press",C89="Light Squat"),15,IF(C89="Deadlift",5,IF(C89="Power Clean",15,0)))))</f>
      </c>
      <c r="N89" s="43">
        <f>IF(C89="","",IF(NOT(OR(C89="Squat",C89="Bench Press",C89="Deadlift",C89="Overhead Press",C89="Power Clean",C89="Light Squat")),"—",IF(L89&gt;=M89,"OK","STALL")))</f>
      </c>
      <c r="O89" s="43" t="s">
        <v>0</v>
      </c>
      <c r="P89" s="43">
        <f>IF($C89="Squat",$F89,0)</f>
      </c>
      <c r="Q89" s="43">
        <f>IF($C89="Bench Press",$F89,0)</f>
      </c>
      <c r="R89" s="43">
        <f>IF($C89="Deadlift",$F89,0)</f>
      </c>
      <c r="S89" s="43">
        <f>IF($C89="Overhead Press",$F89,0)</f>
      </c>
      <c r="T89" s="43">
        <f>IF($C89="Power Clean",$F89,0)</f>
      </c>
    </row>
    <row r="90" spans="1:20" x14ac:dyDescent="0.25">
      <c r="A90" s="28" t="s">
        <v>0</v>
      </c>
      <c r="B90" s="28" t="s">
        <v>0</v>
      </c>
      <c r="C90" s="28" t="s">
        <v>0</v>
      </c>
      <c r="D90" s="43">
        <f>IF(C90="","",IF(OR(C90="Squat",C90="Bench Press",C90="Overhead Press",C90="Light Squat"),"3x5",IF(C90="Deadlift","1x5",IF(C90="Power Clean","5x3","3x10"))))</f>
      </c>
      <c r="E90" s="43">
        <f>IF(C90="","",IF(NOT(OR(C90="Squat",C90="Bench Press",C90="Deadlift",C90="Overhead Press",C90="Power Clean",C90="Light Squat")),"—",IF(C90="Light Squat",IF(COUNTIF(C$10:C89,"Light Squat")=0,ROUND(SUMPRODUCT(MAX((C$10:C89="Squat")*(N$10:N89="OK")*(F$10:F89)))*Settings!$B$37/100/5,0)*5,IF(SUMPRODUCT((C$10:C89="Light Squat")*(N$10:N89="OK")*1)=0,ROUND(SUMPRODUCT(MAX((C$10:C89="Squat")*(N$10:N89="OK")*(F$10:F89)))*Settings!$B$37/100/5,0)*5,SUMPRODUCT(MAX((C$10:C89="Light Squat")*(N$10:N89="OK")*(F$10:F89)))+Settings!$B$38)),IF(SUMPRODUCT((C$10:C89=C90)*(N$10:N89="OK")*1)=0,IF(C90="Squat",Settings!$B$5,IF(C90="Bench Press",Settings!$B$6,IF(C90="Deadlift",Settings!$B$7,IF(C90="Overhead Press",Settings!$B$8,IF(C90="Power Clean",Settings!$B$9,0))))),SUMPRODUCT(MAX((C$10:C89=C90)*(N$10:N89="OK")*(F$10:F89)))+IF(C90="Squat",Settings!$B$12,IF(C90="Bench Press",Settings!$B$13,IF(C90="Deadlift",Settings!$B$14,IF(C90="Overhead Press",Settings!$B$15,IF(C90="Power Clean",Settings!$B$16,0)))))))))</f>
      </c>
      <c r="F90" s="28" t="s">
        <v>0</v>
      </c>
      <c r="G90" s="28" t="s">
        <v>0</v>
      </c>
      <c r="H90" s="28" t="s">
        <v>0</v>
      </c>
      <c r="I90" s="28" t="s">
        <v>0</v>
      </c>
      <c r="J90" s="44" t="s">
        <v>0</v>
      </c>
      <c r="K90" s="44" t="s">
        <v>0</v>
      </c>
      <c r="L90" s="43">
        <f>IF(C90="","",SUM(G90:K90))</f>
      </c>
      <c r="M90" s="43">
        <f>IF(C90="","",IF(NOT(OR(C90="Squat",C90="Bench Press",C90="Deadlift",C90="Overhead Press",C90="Power Clean",C90="Light Squat")),30,IF(OR(C90="Squat",C90="Bench Press",C90="Overhead Press",C90="Light Squat"),15,IF(C90="Deadlift",5,IF(C90="Power Clean",15,0)))))</f>
      </c>
      <c r="N90" s="43">
        <f>IF(C90="","",IF(NOT(OR(C90="Squat",C90="Bench Press",C90="Deadlift",C90="Overhead Press",C90="Power Clean",C90="Light Squat")),"—",IF(L90&gt;=M90,"OK","STALL")))</f>
      </c>
      <c r="O90" s="43" t="s">
        <v>0</v>
      </c>
      <c r="P90" s="43">
        <f>IF($C90="Squat",$F90,0)</f>
      </c>
      <c r="Q90" s="43">
        <f>IF($C90="Bench Press",$F90,0)</f>
      </c>
      <c r="R90" s="43">
        <f>IF($C90="Deadlift",$F90,0)</f>
      </c>
      <c r="S90" s="43">
        <f>IF($C90="Overhead Press",$F90,0)</f>
      </c>
      <c r="T90" s="43">
        <f>IF($C90="Power Clean",$F90,0)</f>
      </c>
    </row>
    <row r="91" spans="1:20" x14ac:dyDescent="0.25">
      <c r="A91" s="28" t="s">
        <v>0</v>
      </c>
      <c r="B91" s="28" t="s">
        <v>0</v>
      </c>
      <c r="C91" s="28" t="s">
        <v>0</v>
      </c>
      <c r="D91" s="43">
        <f>IF(C91="","",IF(OR(C91="Squat",C91="Bench Press",C91="Overhead Press",C91="Light Squat"),"3x5",IF(C91="Deadlift","1x5",IF(C91="Power Clean","5x3","3x10"))))</f>
      </c>
      <c r="E91" s="43">
        <f>IF(C91="","",IF(NOT(OR(C91="Squat",C91="Bench Press",C91="Deadlift",C91="Overhead Press",C91="Power Clean",C91="Light Squat")),"—",IF(C91="Light Squat",IF(COUNTIF(C$10:C90,"Light Squat")=0,ROUND(SUMPRODUCT(MAX((C$10:C90="Squat")*(N$10:N90="OK")*(F$10:F90)))*Settings!$B$37/100/5,0)*5,IF(SUMPRODUCT((C$10:C90="Light Squat")*(N$10:N90="OK")*1)=0,ROUND(SUMPRODUCT(MAX((C$10:C90="Squat")*(N$10:N90="OK")*(F$10:F90)))*Settings!$B$37/100/5,0)*5,SUMPRODUCT(MAX((C$10:C90="Light Squat")*(N$10:N90="OK")*(F$10:F90)))+Settings!$B$38)),IF(SUMPRODUCT((C$10:C90=C91)*(N$10:N90="OK")*1)=0,IF(C91="Squat",Settings!$B$5,IF(C91="Bench Press",Settings!$B$6,IF(C91="Deadlift",Settings!$B$7,IF(C91="Overhead Press",Settings!$B$8,IF(C91="Power Clean",Settings!$B$9,0))))),SUMPRODUCT(MAX((C$10:C90=C91)*(N$10:N90="OK")*(F$10:F90)))+IF(C91="Squat",Settings!$B$12,IF(C91="Bench Press",Settings!$B$13,IF(C91="Deadlift",Settings!$B$14,IF(C91="Overhead Press",Settings!$B$15,IF(C91="Power Clean",Settings!$B$16,0)))))))))</f>
      </c>
      <c r="F91" s="28" t="s">
        <v>0</v>
      </c>
      <c r="G91" s="28" t="s">
        <v>0</v>
      </c>
      <c r="H91" s="28" t="s">
        <v>0</v>
      </c>
      <c r="I91" s="28" t="s">
        <v>0</v>
      </c>
      <c r="J91" s="44" t="s">
        <v>0</v>
      </c>
      <c r="K91" s="44" t="s">
        <v>0</v>
      </c>
      <c r="L91" s="43">
        <f>IF(C91="","",SUM(G91:K91))</f>
      </c>
      <c r="M91" s="43">
        <f>IF(C91="","",IF(NOT(OR(C91="Squat",C91="Bench Press",C91="Deadlift",C91="Overhead Press",C91="Power Clean",C91="Light Squat")),30,IF(OR(C91="Squat",C91="Bench Press",C91="Overhead Press",C91="Light Squat"),15,IF(C91="Deadlift",5,IF(C91="Power Clean",15,0)))))</f>
      </c>
      <c r="N91" s="43">
        <f>IF(C91="","",IF(NOT(OR(C91="Squat",C91="Bench Press",C91="Deadlift",C91="Overhead Press",C91="Power Clean",C91="Light Squat")),"—",IF(L91&gt;=M91,"OK","STALL")))</f>
      </c>
      <c r="O91" s="43" t="s">
        <v>0</v>
      </c>
      <c r="P91" s="43">
        <f>IF($C91="Squat",$F91,0)</f>
      </c>
      <c r="Q91" s="43">
        <f>IF($C91="Bench Press",$F91,0)</f>
      </c>
      <c r="R91" s="43">
        <f>IF($C91="Deadlift",$F91,0)</f>
      </c>
      <c r="S91" s="43">
        <f>IF($C91="Overhead Press",$F91,0)</f>
      </c>
      <c r="T91" s="43">
        <f>IF($C91="Power Clean",$F91,0)</f>
      </c>
    </row>
    <row r="92" spans="1:20" x14ac:dyDescent="0.25">
      <c r="A92" s="28" t="s">
        <v>0</v>
      </c>
      <c r="B92" s="28" t="s">
        <v>0</v>
      </c>
      <c r="C92" s="28" t="s">
        <v>0</v>
      </c>
      <c r="D92" s="43">
        <f>IF(C92="","",IF(OR(C92="Squat",C92="Bench Press",C92="Overhead Press",C92="Light Squat"),"3x5",IF(C92="Deadlift","1x5",IF(C92="Power Clean","5x3","3x10"))))</f>
      </c>
      <c r="E92" s="43">
        <f>IF(C92="","",IF(NOT(OR(C92="Squat",C92="Bench Press",C92="Deadlift",C92="Overhead Press",C92="Power Clean",C92="Light Squat")),"—",IF(C92="Light Squat",IF(COUNTIF(C$10:C91,"Light Squat")=0,ROUND(SUMPRODUCT(MAX((C$10:C91="Squat")*(N$10:N91="OK")*(F$10:F91)))*Settings!$B$37/100/5,0)*5,IF(SUMPRODUCT((C$10:C91="Light Squat")*(N$10:N91="OK")*1)=0,ROUND(SUMPRODUCT(MAX((C$10:C91="Squat")*(N$10:N91="OK")*(F$10:F91)))*Settings!$B$37/100/5,0)*5,SUMPRODUCT(MAX((C$10:C91="Light Squat")*(N$10:N91="OK")*(F$10:F91)))+Settings!$B$38)),IF(SUMPRODUCT((C$10:C91=C92)*(N$10:N91="OK")*1)=0,IF(C92="Squat",Settings!$B$5,IF(C92="Bench Press",Settings!$B$6,IF(C92="Deadlift",Settings!$B$7,IF(C92="Overhead Press",Settings!$B$8,IF(C92="Power Clean",Settings!$B$9,0))))),SUMPRODUCT(MAX((C$10:C91=C92)*(N$10:N91="OK")*(F$10:F91)))+IF(C92="Squat",Settings!$B$12,IF(C92="Bench Press",Settings!$B$13,IF(C92="Deadlift",Settings!$B$14,IF(C92="Overhead Press",Settings!$B$15,IF(C92="Power Clean",Settings!$B$16,0)))))))))</f>
      </c>
      <c r="F92" s="28" t="s">
        <v>0</v>
      </c>
      <c r="G92" s="28" t="s">
        <v>0</v>
      </c>
      <c r="H92" s="28" t="s">
        <v>0</v>
      </c>
      <c r="I92" s="28" t="s">
        <v>0</v>
      </c>
      <c r="J92" s="44" t="s">
        <v>0</v>
      </c>
      <c r="K92" s="44" t="s">
        <v>0</v>
      </c>
      <c r="L92" s="43">
        <f>IF(C92="","",SUM(G92:K92))</f>
      </c>
      <c r="M92" s="43">
        <f>IF(C92="","",IF(NOT(OR(C92="Squat",C92="Bench Press",C92="Deadlift",C92="Overhead Press",C92="Power Clean",C92="Light Squat")),30,IF(OR(C92="Squat",C92="Bench Press",C92="Overhead Press",C92="Light Squat"),15,IF(C92="Deadlift",5,IF(C92="Power Clean",15,0)))))</f>
      </c>
      <c r="N92" s="43">
        <f>IF(C92="","",IF(NOT(OR(C92="Squat",C92="Bench Press",C92="Deadlift",C92="Overhead Press",C92="Power Clean",C92="Light Squat")),"—",IF(L92&gt;=M92,"OK","STALL")))</f>
      </c>
      <c r="O92" s="43" t="s">
        <v>0</v>
      </c>
      <c r="P92" s="43">
        <f>IF($C92="Squat",$F92,0)</f>
      </c>
      <c r="Q92" s="43">
        <f>IF($C92="Bench Press",$F92,0)</f>
      </c>
      <c r="R92" s="43">
        <f>IF($C92="Deadlift",$F92,0)</f>
      </c>
      <c r="S92" s="43">
        <f>IF($C92="Overhead Press",$F92,0)</f>
      </c>
      <c r="T92" s="43">
        <f>IF($C92="Power Clean",$F92,0)</f>
      </c>
    </row>
    <row r="93" spans="1:20" x14ac:dyDescent="0.25">
      <c r="A93" s="28" t="s">
        <v>0</v>
      </c>
      <c r="B93" s="28" t="s">
        <v>0</v>
      </c>
      <c r="C93" s="28" t="s">
        <v>0</v>
      </c>
      <c r="D93" s="43">
        <f>IF(C93="","",IF(OR(C93="Squat",C93="Bench Press",C93="Overhead Press",C93="Light Squat"),"3x5",IF(C93="Deadlift","1x5",IF(C93="Power Clean","5x3","3x10"))))</f>
      </c>
      <c r="E93" s="43">
        <f>IF(C93="","",IF(NOT(OR(C93="Squat",C93="Bench Press",C93="Deadlift",C93="Overhead Press",C93="Power Clean",C93="Light Squat")),"—",IF(C93="Light Squat",IF(COUNTIF(C$10:C92,"Light Squat")=0,ROUND(SUMPRODUCT(MAX((C$10:C92="Squat")*(N$10:N92="OK")*(F$10:F92)))*Settings!$B$37/100/5,0)*5,IF(SUMPRODUCT((C$10:C92="Light Squat")*(N$10:N92="OK")*1)=0,ROUND(SUMPRODUCT(MAX((C$10:C92="Squat")*(N$10:N92="OK")*(F$10:F92)))*Settings!$B$37/100/5,0)*5,SUMPRODUCT(MAX((C$10:C92="Light Squat")*(N$10:N92="OK")*(F$10:F92)))+Settings!$B$38)),IF(SUMPRODUCT((C$10:C92=C93)*(N$10:N92="OK")*1)=0,IF(C93="Squat",Settings!$B$5,IF(C93="Bench Press",Settings!$B$6,IF(C93="Deadlift",Settings!$B$7,IF(C93="Overhead Press",Settings!$B$8,IF(C93="Power Clean",Settings!$B$9,0))))),SUMPRODUCT(MAX((C$10:C92=C93)*(N$10:N92="OK")*(F$10:F92)))+IF(C93="Squat",Settings!$B$12,IF(C93="Bench Press",Settings!$B$13,IF(C93="Deadlift",Settings!$B$14,IF(C93="Overhead Press",Settings!$B$15,IF(C93="Power Clean",Settings!$B$16,0)))))))))</f>
      </c>
      <c r="F93" s="28" t="s">
        <v>0</v>
      </c>
      <c r="G93" s="28" t="s">
        <v>0</v>
      </c>
      <c r="H93" s="28" t="s">
        <v>0</v>
      </c>
      <c r="I93" s="28" t="s">
        <v>0</v>
      </c>
      <c r="J93" s="44" t="s">
        <v>0</v>
      </c>
      <c r="K93" s="44" t="s">
        <v>0</v>
      </c>
      <c r="L93" s="43">
        <f>IF(C93="","",SUM(G93:K93))</f>
      </c>
      <c r="M93" s="43">
        <f>IF(C93="","",IF(NOT(OR(C93="Squat",C93="Bench Press",C93="Deadlift",C93="Overhead Press",C93="Power Clean",C93="Light Squat")),30,IF(OR(C93="Squat",C93="Bench Press",C93="Overhead Press",C93="Light Squat"),15,IF(C93="Deadlift",5,IF(C93="Power Clean",15,0)))))</f>
      </c>
      <c r="N93" s="43">
        <f>IF(C93="","",IF(NOT(OR(C93="Squat",C93="Bench Press",C93="Deadlift",C93="Overhead Press",C93="Power Clean",C93="Light Squat")),"—",IF(L93&gt;=M93,"OK","STALL")))</f>
      </c>
      <c r="O93" s="43" t="s">
        <v>0</v>
      </c>
      <c r="P93" s="43">
        <f>IF($C93="Squat",$F93,0)</f>
      </c>
      <c r="Q93" s="43">
        <f>IF($C93="Bench Press",$F93,0)</f>
      </c>
      <c r="R93" s="43">
        <f>IF($C93="Deadlift",$F93,0)</f>
      </c>
      <c r="S93" s="43">
        <f>IF($C93="Overhead Press",$F93,0)</f>
      </c>
      <c r="T93" s="43">
        <f>IF($C93="Power Clean",$F93,0)</f>
      </c>
    </row>
    <row r="94" spans="1:20" x14ac:dyDescent="0.25">
      <c r="A94" s="28" t="s">
        <v>0</v>
      </c>
      <c r="B94" s="28" t="s">
        <v>0</v>
      </c>
      <c r="C94" s="28" t="s">
        <v>0</v>
      </c>
      <c r="D94" s="43">
        <f>IF(C94="","",IF(OR(C94="Squat",C94="Bench Press",C94="Overhead Press",C94="Light Squat"),"3x5",IF(C94="Deadlift","1x5",IF(C94="Power Clean","5x3","3x10"))))</f>
      </c>
      <c r="E94" s="43">
        <f>IF(C94="","",IF(NOT(OR(C94="Squat",C94="Bench Press",C94="Deadlift",C94="Overhead Press",C94="Power Clean",C94="Light Squat")),"—",IF(C94="Light Squat",IF(COUNTIF(C$10:C93,"Light Squat")=0,ROUND(SUMPRODUCT(MAX((C$10:C93="Squat")*(N$10:N93="OK")*(F$10:F93)))*Settings!$B$37/100/5,0)*5,IF(SUMPRODUCT((C$10:C93="Light Squat")*(N$10:N93="OK")*1)=0,ROUND(SUMPRODUCT(MAX((C$10:C93="Squat")*(N$10:N93="OK")*(F$10:F93)))*Settings!$B$37/100/5,0)*5,SUMPRODUCT(MAX((C$10:C93="Light Squat")*(N$10:N93="OK")*(F$10:F93)))+Settings!$B$38)),IF(SUMPRODUCT((C$10:C93=C94)*(N$10:N93="OK")*1)=0,IF(C94="Squat",Settings!$B$5,IF(C94="Bench Press",Settings!$B$6,IF(C94="Deadlift",Settings!$B$7,IF(C94="Overhead Press",Settings!$B$8,IF(C94="Power Clean",Settings!$B$9,0))))),SUMPRODUCT(MAX((C$10:C93=C94)*(N$10:N93="OK")*(F$10:F93)))+IF(C94="Squat",Settings!$B$12,IF(C94="Bench Press",Settings!$B$13,IF(C94="Deadlift",Settings!$B$14,IF(C94="Overhead Press",Settings!$B$15,IF(C94="Power Clean",Settings!$B$16,0)))))))))</f>
      </c>
      <c r="F94" s="28" t="s">
        <v>0</v>
      </c>
      <c r="G94" s="28" t="s">
        <v>0</v>
      </c>
      <c r="H94" s="28" t="s">
        <v>0</v>
      </c>
      <c r="I94" s="28" t="s">
        <v>0</v>
      </c>
      <c r="J94" s="44" t="s">
        <v>0</v>
      </c>
      <c r="K94" s="44" t="s">
        <v>0</v>
      </c>
      <c r="L94" s="43">
        <f>IF(C94="","",SUM(G94:K94))</f>
      </c>
      <c r="M94" s="43">
        <f>IF(C94="","",IF(NOT(OR(C94="Squat",C94="Bench Press",C94="Deadlift",C94="Overhead Press",C94="Power Clean",C94="Light Squat")),30,IF(OR(C94="Squat",C94="Bench Press",C94="Overhead Press",C94="Light Squat"),15,IF(C94="Deadlift",5,IF(C94="Power Clean",15,0)))))</f>
      </c>
      <c r="N94" s="43">
        <f>IF(C94="","",IF(NOT(OR(C94="Squat",C94="Bench Press",C94="Deadlift",C94="Overhead Press",C94="Power Clean",C94="Light Squat")),"—",IF(L94&gt;=M94,"OK","STALL")))</f>
      </c>
      <c r="O94" s="43" t="s">
        <v>0</v>
      </c>
      <c r="P94" s="43">
        <f>IF($C94="Squat",$F94,0)</f>
      </c>
      <c r="Q94" s="43">
        <f>IF($C94="Bench Press",$F94,0)</f>
      </c>
      <c r="R94" s="43">
        <f>IF($C94="Deadlift",$F94,0)</f>
      </c>
      <c r="S94" s="43">
        <f>IF($C94="Overhead Press",$F94,0)</f>
      </c>
      <c r="T94" s="43">
        <f>IF($C94="Power Clean",$F94,0)</f>
      </c>
    </row>
    <row r="95" spans="1:20" x14ac:dyDescent="0.25">
      <c r="A95" s="28" t="s">
        <v>0</v>
      </c>
      <c r="B95" s="28" t="s">
        <v>0</v>
      </c>
      <c r="C95" s="28" t="s">
        <v>0</v>
      </c>
      <c r="D95" s="43">
        <f>IF(C95="","",IF(OR(C95="Squat",C95="Bench Press",C95="Overhead Press",C95="Light Squat"),"3x5",IF(C95="Deadlift","1x5",IF(C95="Power Clean","5x3","3x10"))))</f>
      </c>
      <c r="E95" s="43">
        <f>IF(C95="","",IF(NOT(OR(C95="Squat",C95="Bench Press",C95="Deadlift",C95="Overhead Press",C95="Power Clean",C95="Light Squat")),"—",IF(C95="Light Squat",IF(COUNTIF(C$10:C94,"Light Squat")=0,ROUND(SUMPRODUCT(MAX((C$10:C94="Squat")*(N$10:N94="OK")*(F$10:F94)))*Settings!$B$37/100/5,0)*5,IF(SUMPRODUCT((C$10:C94="Light Squat")*(N$10:N94="OK")*1)=0,ROUND(SUMPRODUCT(MAX((C$10:C94="Squat")*(N$10:N94="OK")*(F$10:F94)))*Settings!$B$37/100/5,0)*5,SUMPRODUCT(MAX((C$10:C94="Light Squat")*(N$10:N94="OK")*(F$10:F94)))+Settings!$B$38)),IF(SUMPRODUCT((C$10:C94=C95)*(N$10:N94="OK")*1)=0,IF(C95="Squat",Settings!$B$5,IF(C95="Bench Press",Settings!$B$6,IF(C95="Deadlift",Settings!$B$7,IF(C95="Overhead Press",Settings!$B$8,IF(C95="Power Clean",Settings!$B$9,0))))),SUMPRODUCT(MAX((C$10:C94=C95)*(N$10:N94="OK")*(F$10:F94)))+IF(C95="Squat",Settings!$B$12,IF(C95="Bench Press",Settings!$B$13,IF(C95="Deadlift",Settings!$B$14,IF(C95="Overhead Press",Settings!$B$15,IF(C95="Power Clean",Settings!$B$16,0)))))))))</f>
      </c>
      <c r="F95" s="28" t="s">
        <v>0</v>
      </c>
      <c r="G95" s="28" t="s">
        <v>0</v>
      </c>
      <c r="H95" s="28" t="s">
        <v>0</v>
      </c>
      <c r="I95" s="28" t="s">
        <v>0</v>
      </c>
      <c r="J95" s="44" t="s">
        <v>0</v>
      </c>
      <c r="K95" s="44" t="s">
        <v>0</v>
      </c>
      <c r="L95" s="43">
        <f>IF(C95="","",SUM(G95:K95))</f>
      </c>
      <c r="M95" s="43">
        <f>IF(C95="","",IF(NOT(OR(C95="Squat",C95="Bench Press",C95="Deadlift",C95="Overhead Press",C95="Power Clean",C95="Light Squat")),30,IF(OR(C95="Squat",C95="Bench Press",C95="Overhead Press",C95="Light Squat"),15,IF(C95="Deadlift",5,IF(C95="Power Clean",15,0)))))</f>
      </c>
      <c r="N95" s="43">
        <f>IF(C95="","",IF(NOT(OR(C95="Squat",C95="Bench Press",C95="Deadlift",C95="Overhead Press",C95="Power Clean",C95="Light Squat")),"—",IF(L95&gt;=M95,"OK","STALL")))</f>
      </c>
      <c r="O95" s="43" t="s">
        <v>0</v>
      </c>
      <c r="P95" s="43">
        <f>IF($C95="Squat",$F95,0)</f>
      </c>
      <c r="Q95" s="43">
        <f>IF($C95="Bench Press",$F95,0)</f>
      </c>
      <c r="R95" s="43">
        <f>IF($C95="Deadlift",$F95,0)</f>
      </c>
      <c r="S95" s="43">
        <f>IF($C95="Overhead Press",$F95,0)</f>
      </c>
      <c r="T95" s="43">
        <f>IF($C95="Power Clean",$F95,0)</f>
      </c>
    </row>
    <row r="96" spans="1:20" x14ac:dyDescent="0.25">
      <c r="A96" s="28" t="s">
        <v>0</v>
      </c>
      <c r="B96" s="28" t="s">
        <v>0</v>
      </c>
      <c r="C96" s="28" t="s">
        <v>0</v>
      </c>
      <c r="D96" s="43">
        <f>IF(C96="","",IF(OR(C96="Squat",C96="Bench Press",C96="Overhead Press",C96="Light Squat"),"3x5",IF(C96="Deadlift","1x5",IF(C96="Power Clean","5x3","3x10"))))</f>
      </c>
      <c r="E96" s="43">
        <f>IF(C96="","",IF(NOT(OR(C96="Squat",C96="Bench Press",C96="Deadlift",C96="Overhead Press",C96="Power Clean",C96="Light Squat")),"—",IF(C96="Light Squat",IF(COUNTIF(C$10:C95,"Light Squat")=0,ROUND(SUMPRODUCT(MAX((C$10:C95="Squat")*(N$10:N95="OK")*(F$10:F95)))*Settings!$B$37/100/5,0)*5,IF(SUMPRODUCT((C$10:C95="Light Squat")*(N$10:N95="OK")*1)=0,ROUND(SUMPRODUCT(MAX((C$10:C95="Squat")*(N$10:N95="OK")*(F$10:F95)))*Settings!$B$37/100/5,0)*5,SUMPRODUCT(MAX((C$10:C95="Light Squat")*(N$10:N95="OK")*(F$10:F95)))+Settings!$B$38)),IF(SUMPRODUCT((C$10:C95=C96)*(N$10:N95="OK")*1)=0,IF(C96="Squat",Settings!$B$5,IF(C96="Bench Press",Settings!$B$6,IF(C96="Deadlift",Settings!$B$7,IF(C96="Overhead Press",Settings!$B$8,IF(C96="Power Clean",Settings!$B$9,0))))),SUMPRODUCT(MAX((C$10:C95=C96)*(N$10:N95="OK")*(F$10:F95)))+IF(C96="Squat",Settings!$B$12,IF(C96="Bench Press",Settings!$B$13,IF(C96="Deadlift",Settings!$B$14,IF(C96="Overhead Press",Settings!$B$15,IF(C96="Power Clean",Settings!$B$16,0)))))))))</f>
      </c>
      <c r="F96" s="28" t="s">
        <v>0</v>
      </c>
      <c r="G96" s="28" t="s">
        <v>0</v>
      </c>
      <c r="H96" s="28" t="s">
        <v>0</v>
      </c>
      <c r="I96" s="28" t="s">
        <v>0</v>
      </c>
      <c r="J96" s="44" t="s">
        <v>0</v>
      </c>
      <c r="K96" s="44" t="s">
        <v>0</v>
      </c>
      <c r="L96" s="43">
        <f>IF(C96="","",SUM(G96:K96))</f>
      </c>
      <c r="M96" s="43">
        <f>IF(C96="","",IF(NOT(OR(C96="Squat",C96="Bench Press",C96="Deadlift",C96="Overhead Press",C96="Power Clean",C96="Light Squat")),30,IF(OR(C96="Squat",C96="Bench Press",C96="Overhead Press",C96="Light Squat"),15,IF(C96="Deadlift",5,IF(C96="Power Clean",15,0)))))</f>
      </c>
      <c r="N96" s="43">
        <f>IF(C96="","",IF(NOT(OR(C96="Squat",C96="Bench Press",C96="Deadlift",C96="Overhead Press",C96="Power Clean",C96="Light Squat")),"—",IF(L96&gt;=M96,"OK","STALL")))</f>
      </c>
      <c r="O96" s="43" t="s">
        <v>0</v>
      </c>
      <c r="P96" s="43">
        <f>IF($C96="Squat",$F96,0)</f>
      </c>
      <c r="Q96" s="43">
        <f>IF($C96="Bench Press",$F96,0)</f>
      </c>
      <c r="R96" s="43">
        <f>IF($C96="Deadlift",$F96,0)</f>
      </c>
      <c r="S96" s="43">
        <f>IF($C96="Overhead Press",$F96,0)</f>
      </c>
      <c r="T96" s="43">
        <f>IF($C96="Power Clean",$F96,0)</f>
      </c>
    </row>
    <row r="97" spans="1:20" x14ac:dyDescent="0.25">
      <c r="A97" s="28" t="s">
        <v>0</v>
      </c>
      <c r="B97" s="28" t="s">
        <v>0</v>
      </c>
      <c r="C97" s="28" t="s">
        <v>0</v>
      </c>
      <c r="D97" s="43">
        <f>IF(C97="","",IF(OR(C97="Squat",C97="Bench Press",C97="Overhead Press",C97="Light Squat"),"3x5",IF(C97="Deadlift","1x5",IF(C97="Power Clean","5x3","3x10"))))</f>
      </c>
      <c r="E97" s="43">
        <f>IF(C97="","",IF(NOT(OR(C97="Squat",C97="Bench Press",C97="Deadlift",C97="Overhead Press",C97="Power Clean",C97="Light Squat")),"—",IF(C97="Light Squat",IF(COUNTIF(C$10:C96,"Light Squat")=0,ROUND(SUMPRODUCT(MAX((C$10:C96="Squat")*(N$10:N96="OK")*(F$10:F96)))*Settings!$B$37/100/5,0)*5,IF(SUMPRODUCT((C$10:C96="Light Squat")*(N$10:N96="OK")*1)=0,ROUND(SUMPRODUCT(MAX((C$10:C96="Squat")*(N$10:N96="OK")*(F$10:F96)))*Settings!$B$37/100/5,0)*5,SUMPRODUCT(MAX((C$10:C96="Light Squat")*(N$10:N96="OK")*(F$10:F96)))+Settings!$B$38)),IF(SUMPRODUCT((C$10:C96=C97)*(N$10:N96="OK")*1)=0,IF(C97="Squat",Settings!$B$5,IF(C97="Bench Press",Settings!$B$6,IF(C97="Deadlift",Settings!$B$7,IF(C97="Overhead Press",Settings!$B$8,IF(C97="Power Clean",Settings!$B$9,0))))),SUMPRODUCT(MAX((C$10:C96=C97)*(N$10:N96="OK")*(F$10:F96)))+IF(C97="Squat",Settings!$B$12,IF(C97="Bench Press",Settings!$B$13,IF(C97="Deadlift",Settings!$B$14,IF(C97="Overhead Press",Settings!$B$15,IF(C97="Power Clean",Settings!$B$16,0)))))))))</f>
      </c>
      <c r="F97" s="28" t="s">
        <v>0</v>
      </c>
      <c r="G97" s="28" t="s">
        <v>0</v>
      </c>
      <c r="H97" s="28" t="s">
        <v>0</v>
      </c>
      <c r="I97" s="28" t="s">
        <v>0</v>
      </c>
      <c r="J97" s="44" t="s">
        <v>0</v>
      </c>
      <c r="K97" s="44" t="s">
        <v>0</v>
      </c>
      <c r="L97" s="43">
        <f>IF(C97="","",SUM(G97:K97))</f>
      </c>
      <c r="M97" s="43">
        <f>IF(C97="","",IF(NOT(OR(C97="Squat",C97="Bench Press",C97="Deadlift",C97="Overhead Press",C97="Power Clean",C97="Light Squat")),30,IF(OR(C97="Squat",C97="Bench Press",C97="Overhead Press",C97="Light Squat"),15,IF(C97="Deadlift",5,IF(C97="Power Clean",15,0)))))</f>
      </c>
      <c r="N97" s="43">
        <f>IF(C97="","",IF(NOT(OR(C97="Squat",C97="Bench Press",C97="Deadlift",C97="Overhead Press",C97="Power Clean",C97="Light Squat")),"—",IF(L97&gt;=M97,"OK","STALL")))</f>
      </c>
      <c r="O97" s="43" t="s">
        <v>0</v>
      </c>
      <c r="P97" s="43">
        <f>IF($C97="Squat",$F97,0)</f>
      </c>
      <c r="Q97" s="43">
        <f>IF($C97="Bench Press",$F97,0)</f>
      </c>
      <c r="R97" s="43">
        <f>IF($C97="Deadlift",$F97,0)</f>
      </c>
      <c r="S97" s="43">
        <f>IF($C97="Overhead Press",$F97,0)</f>
      </c>
      <c r="T97" s="43">
        <f>IF($C97="Power Clean",$F97,0)</f>
      </c>
    </row>
    <row r="98" spans="1:20" x14ac:dyDescent="0.25">
      <c r="A98" s="28" t="s">
        <v>0</v>
      </c>
      <c r="B98" s="28" t="s">
        <v>0</v>
      </c>
      <c r="C98" s="28" t="s">
        <v>0</v>
      </c>
      <c r="D98" s="43">
        <f>IF(C98="","",IF(OR(C98="Squat",C98="Bench Press",C98="Overhead Press",C98="Light Squat"),"3x5",IF(C98="Deadlift","1x5",IF(C98="Power Clean","5x3","3x10"))))</f>
      </c>
      <c r="E98" s="43">
        <f>IF(C98="","",IF(NOT(OR(C98="Squat",C98="Bench Press",C98="Deadlift",C98="Overhead Press",C98="Power Clean",C98="Light Squat")),"—",IF(C98="Light Squat",IF(COUNTIF(C$10:C97,"Light Squat")=0,ROUND(SUMPRODUCT(MAX((C$10:C97="Squat")*(N$10:N97="OK")*(F$10:F97)))*Settings!$B$37/100/5,0)*5,IF(SUMPRODUCT((C$10:C97="Light Squat")*(N$10:N97="OK")*1)=0,ROUND(SUMPRODUCT(MAX((C$10:C97="Squat")*(N$10:N97="OK")*(F$10:F97)))*Settings!$B$37/100/5,0)*5,SUMPRODUCT(MAX((C$10:C97="Light Squat")*(N$10:N97="OK")*(F$10:F97)))+Settings!$B$38)),IF(SUMPRODUCT((C$10:C97=C98)*(N$10:N97="OK")*1)=0,IF(C98="Squat",Settings!$B$5,IF(C98="Bench Press",Settings!$B$6,IF(C98="Deadlift",Settings!$B$7,IF(C98="Overhead Press",Settings!$B$8,IF(C98="Power Clean",Settings!$B$9,0))))),SUMPRODUCT(MAX((C$10:C97=C98)*(N$10:N97="OK")*(F$10:F97)))+IF(C98="Squat",Settings!$B$12,IF(C98="Bench Press",Settings!$B$13,IF(C98="Deadlift",Settings!$B$14,IF(C98="Overhead Press",Settings!$B$15,IF(C98="Power Clean",Settings!$B$16,0)))))))))</f>
      </c>
      <c r="F98" s="28" t="s">
        <v>0</v>
      </c>
      <c r="G98" s="28" t="s">
        <v>0</v>
      </c>
      <c r="H98" s="28" t="s">
        <v>0</v>
      </c>
      <c r="I98" s="28" t="s">
        <v>0</v>
      </c>
      <c r="J98" s="44" t="s">
        <v>0</v>
      </c>
      <c r="K98" s="44" t="s">
        <v>0</v>
      </c>
      <c r="L98" s="43">
        <f>IF(C98="","",SUM(G98:K98))</f>
      </c>
      <c r="M98" s="43">
        <f>IF(C98="","",IF(NOT(OR(C98="Squat",C98="Bench Press",C98="Deadlift",C98="Overhead Press",C98="Power Clean",C98="Light Squat")),30,IF(OR(C98="Squat",C98="Bench Press",C98="Overhead Press",C98="Light Squat"),15,IF(C98="Deadlift",5,IF(C98="Power Clean",15,0)))))</f>
      </c>
      <c r="N98" s="43">
        <f>IF(C98="","",IF(NOT(OR(C98="Squat",C98="Bench Press",C98="Deadlift",C98="Overhead Press",C98="Power Clean",C98="Light Squat")),"—",IF(L98&gt;=M98,"OK","STALL")))</f>
      </c>
      <c r="O98" s="43" t="s">
        <v>0</v>
      </c>
      <c r="P98" s="43">
        <f>IF($C98="Squat",$F98,0)</f>
      </c>
      <c r="Q98" s="43">
        <f>IF($C98="Bench Press",$F98,0)</f>
      </c>
      <c r="R98" s="43">
        <f>IF($C98="Deadlift",$F98,0)</f>
      </c>
      <c r="S98" s="43">
        <f>IF($C98="Overhead Press",$F98,0)</f>
      </c>
      <c r="T98" s="43">
        <f>IF($C98="Power Clean",$F98,0)</f>
      </c>
    </row>
    <row r="99" spans="1:20" x14ac:dyDescent="0.25">
      <c r="A99" s="28" t="s">
        <v>0</v>
      </c>
      <c r="B99" s="28" t="s">
        <v>0</v>
      </c>
      <c r="C99" s="28" t="s">
        <v>0</v>
      </c>
      <c r="D99" s="43">
        <f>IF(C99="","",IF(OR(C99="Squat",C99="Bench Press",C99="Overhead Press",C99="Light Squat"),"3x5",IF(C99="Deadlift","1x5",IF(C99="Power Clean","5x3","3x10"))))</f>
      </c>
      <c r="E99" s="43">
        <f>IF(C99="","",IF(NOT(OR(C99="Squat",C99="Bench Press",C99="Deadlift",C99="Overhead Press",C99="Power Clean",C99="Light Squat")),"—",IF(C99="Light Squat",IF(COUNTIF(C$10:C98,"Light Squat")=0,ROUND(SUMPRODUCT(MAX((C$10:C98="Squat")*(N$10:N98="OK")*(F$10:F98)))*Settings!$B$37/100/5,0)*5,IF(SUMPRODUCT((C$10:C98="Light Squat")*(N$10:N98="OK")*1)=0,ROUND(SUMPRODUCT(MAX((C$10:C98="Squat")*(N$10:N98="OK")*(F$10:F98)))*Settings!$B$37/100/5,0)*5,SUMPRODUCT(MAX((C$10:C98="Light Squat")*(N$10:N98="OK")*(F$10:F98)))+Settings!$B$38)),IF(SUMPRODUCT((C$10:C98=C99)*(N$10:N98="OK")*1)=0,IF(C99="Squat",Settings!$B$5,IF(C99="Bench Press",Settings!$B$6,IF(C99="Deadlift",Settings!$B$7,IF(C99="Overhead Press",Settings!$B$8,IF(C99="Power Clean",Settings!$B$9,0))))),SUMPRODUCT(MAX((C$10:C98=C99)*(N$10:N98="OK")*(F$10:F98)))+IF(C99="Squat",Settings!$B$12,IF(C99="Bench Press",Settings!$B$13,IF(C99="Deadlift",Settings!$B$14,IF(C99="Overhead Press",Settings!$B$15,IF(C99="Power Clean",Settings!$B$16,0)))))))))</f>
      </c>
      <c r="F99" s="28" t="s">
        <v>0</v>
      </c>
      <c r="G99" s="28" t="s">
        <v>0</v>
      </c>
      <c r="H99" s="28" t="s">
        <v>0</v>
      </c>
      <c r="I99" s="28" t="s">
        <v>0</v>
      </c>
      <c r="J99" s="44" t="s">
        <v>0</v>
      </c>
      <c r="K99" s="44" t="s">
        <v>0</v>
      </c>
      <c r="L99" s="43">
        <f>IF(C99="","",SUM(G99:K99))</f>
      </c>
      <c r="M99" s="43">
        <f>IF(C99="","",IF(NOT(OR(C99="Squat",C99="Bench Press",C99="Deadlift",C99="Overhead Press",C99="Power Clean",C99="Light Squat")),30,IF(OR(C99="Squat",C99="Bench Press",C99="Overhead Press",C99="Light Squat"),15,IF(C99="Deadlift",5,IF(C99="Power Clean",15,0)))))</f>
      </c>
      <c r="N99" s="43">
        <f>IF(C99="","",IF(NOT(OR(C99="Squat",C99="Bench Press",C99="Deadlift",C99="Overhead Press",C99="Power Clean",C99="Light Squat")),"—",IF(L99&gt;=M99,"OK","STALL")))</f>
      </c>
      <c r="O99" s="43" t="s">
        <v>0</v>
      </c>
      <c r="P99" s="43">
        <f>IF($C99="Squat",$F99,0)</f>
      </c>
      <c r="Q99" s="43">
        <f>IF($C99="Bench Press",$F99,0)</f>
      </c>
      <c r="R99" s="43">
        <f>IF($C99="Deadlift",$F99,0)</f>
      </c>
      <c r="S99" s="43">
        <f>IF($C99="Overhead Press",$F99,0)</f>
      </c>
      <c r="T99" s="43">
        <f>IF($C99="Power Clean",$F99,0)</f>
      </c>
    </row>
    <row r="100" spans="1:20" x14ac:dyDescent="0.25">
      <c r="A100" s="28" t="s">
        <v>0</v>
      </c>
      <c r="B100" s="28" t="s">
        <v>0</v>
      </c>
      <c r="C100" s="28" t="s">
        <v>0</v>
      </c>
      <c r="D100" s="43">
        <f>IF(C100="","",IF(OR(C100="Squat",C100="Bench Press",C100="Overhead Press",C100="Light Squat"),"3x5",IF(C100="Deadlift","1x5",IF(C100="Power Clean","5x3","3x10"))))</f>
      </c>
      <c r="E100" s="43">
        <f>IF(C100="","",IF(NOT(OR(C100="Squat",C100="Bench Press",C100="Deadlift",C100="Overhead Press",C100="Power Clean",C100="Light Squat")),"—",IF(C100="Light Squat",IF(COUNTIF(C$10:C99,"Light Squat")=0,ROUND(SUMPRODUCT(MAX((C$10:C99="Squat")*(N$10:N99="OK")*(F$10:F99)))*Settings!$B$37/100/5,0)*5,IF(SUMPRODUCT((C$10:C99="Light Squat")*(N$10:N99="OK")*1)=0,ROUND(SUMPRODUCT(MAX((C$10:C99="Squat")*(N$10:N99="OK")*(F$10:F99)))*Settings!$B$37/100/5,0)*5,SUMPRODUCT(MAX((C$10:C99="Light Squat")*(N$10:N99="OK")*(F$10:F99)))+Settings!$B$38)),IF(SUMPRODUCT((C$10:C99=C100)*(N$10:N99="OK")*1)=0,IF(C100="Squat",Settings!$B$5,IF(C100="Bench Press",Settings!$B$6,IF(C100="Deadlift",Settings!$B$7,IF(C100="Overhead Press",Settings!$B$8,IF(C100="Power Clean",Settings!$B$9,0))))),SUMPRODUCT(MAX((C$10:C99=C100)*(N$10:N99="OK")*(F$10:F99)))+IF(C100="Squat",Settings!$B$12,IF(C100="Bench Press",Settings!$B$13,IF(C100="Deadlift",Settings!$B$14,IF(C100="Overhead Press",Settings!$B$15,IF(C100="Power Clean",Settings!$B$16,0)))))))))</f>
      </c>
      <c r="F100" s="28" t="s">
        <v>0</v>
      </c>
      <c r="G100" s="28" t="s">
        <v>0</v>
      </c>
      <c r="H100" s="28" t="s">
        <v>0</v>
      </c>
      <c r="I100" s="28" t="s">
        <v>0</v>
      </c>
      <c r="J100" s="44" t="s">
        <v>0</v>
      </c>
      <c r="K100" s="44" t="s">
        <v>0</v>
      </c>
      <c r="L100" s="43">
        <f>IF(C100="","",SUM(G100:K100))</f>
      </c>
      <c r="M100" s="43">
        <f>IF(C100="","",IF(NOT(OR(C100="Squat",C100="Bench Press",C100="Deadlift",C100="Overhead Press",C100="Power Clean",C100="Light Squat")),30,IF(OR(C100="Squat",C100="Bench Press",C100="Overhead Press",C100="Light Squat"),15,IF(C100="Deadlift",5,IF(C100="Power Clean",15,0)))))</f>
      </c>
      <c r="N100" s="43">
        <f>IF(C100="","",IF(NOT(OR(C100="Squat",C100="Bench Press",C100="Deadlift",C100="Overhead Press",C100="Power Clean",C100="Light Squat")),"—",IF(L100&gt;=M100,"OK","STALL")))</f>
      </c>
      <c r="O100" s="43" t="s">
        <v>0</v>
      </c>
      <c r="P100" s="43">
        <f>IF($C100="Squat",$F100,0)</f>
      </c>
      <c r="Q100" s="43">
        <f>IF($C100="Bench Press",$F100,0)</f>
      </c>
      <c r="R100" s="43">
        <f>IF($C100="Deadlift",$F100,0)</f>
      </c>
      <c r="S100" s="43">
        <f>IF($C100="Overhead Press",$F100,0)</f>
      </c>
      <c r="T100" s="43">
        <f>IF($C100="Power Clean",$F100,0)</f>
      </c>
    </row>
    <row r="101" spans="1:20" x14ac:dyDescent="0.25">
      <c r="A101" s="28" t="s">
        <v>0</v>
      </c>
      <c r="B101" s="28" t="s">
        <v>0</v>
      </c>
      <c r="C101" s="28" t="s">
        <v>0</v>
      </c>
      <c r="D101" s="43">
        <f>IF(C101="","",IF(OR(C101="Squat",C101="Bench Press",C101="Overhead Press",C101="Light Squat"),"3x5",IF(C101="Deadlift","1x5",IF(C101="Power Clean","5x3","3x10"))))</f>
      </c>
      <c r="E101" s="43">
        <f>IF(C101="","",IF(NOT(OR(C101="Squat",C101="Bench Press",C101="Deadlift",C101="Overhead Press",C101="Power Clean",C101="Light Squat")),"—",IF(C101="Light Squat",IF(COUNTIF(C$10:C100,"Light Squat")=0,ROUND(SUMPRODUCT(MAX((C$10:C100="Squat")*(N$10:N100="OK")*(F$10:F100)))*Settings!$B$37/100/5,0)*5,IF(SUMPRODUCT((C$10:C100="Light Squat")*(N$10:N100="OK")*1)=0,ROUND(SUMPRODUCT(MAX((C$10:C100="Squat")*(N$10:N100="OK")*(F$10:F100)))*Settings!$B$37/100/5,0)*5,SUMPRODUCT(MAX((C$10:C100="Light Squat")*(N$10:N100="OK")*(F$10:F100)))+Settings!$B$38)),IF(SUMPRODUCT((C$10:C100=C101)*(N$10:N100="OK")*1)=0,IF(C101="Squat",Settings!$B$5,IF(C101="Bench Press",Settings!$B$6,IF(C101="Deadlift",Settings!$B$7,IF(C101="Overhead Press",Settings!$B$8,IF(C101="Power Clean",Settings!$B$9,0))))),SUMPRODUCT(MAX((C$10:C100=C101)*(N$10:N100="OK")*(F$10:F100)))+IF(C101="Squat",Settings!$B$12,IF(C101="Bench Press",Settings!$B$13,IF(C101="Deadlift",Settings!$B$14,IF(C101="Overhead Press",Settings!$B$15,IF(C101="Power Clean",Settings!$B$16,0)))))))))</f>
      </c>
      <c r="F101" s="28" t="s">
        <v>0</v>
      </c>
      <c r="G101" s="28" t="s">
        <v>0</v>
      </c>
      <c r="H101" s="28" t="s">
        <v>0</v>
      </c>
      <c r="I101" s="28" t="s">
        <v>0</v>
      </c>
      <c r="J101" s="44" t="s">
        <v>0</v>
      </c>
      <c r="K101" s="44" t="s">
        <v>0</v>
      </c>
      <c r="L101" s="43">
        <f>IF(C101="","",SUM(G101:K101))</f>
      </c>
      <c r="M101" s="43">
        <f>IF(C101="","",IF(NOT(OR(C101="Squat",C101="Bench Press",C101="Deadlift",C101="Overhead Press",C101="Power Clean",C101="Light Squat")),30,IF(OR(C101="Squat",C101="Bench Press",C101="Overhead Press",C101="Light Squat"),15,IF(C101="Deadlift",5,IF(C101="Power Clean",15,0)))))</f>
      </c>
      <c r="N101" s="43">
        <f>IF(C101="","",IF(NOT(OR(C101="Squat",C101="Bench Press",C101="Deadlift",C101="Overhead Press",C101="Power Clean",C101="Light Squat")),"—",IF(L101&gt;=M101,"OK","STALL")))</f>
      </c>
      <c r="O101" s="43" t="s">
        <v>0</v>
      </c>
      <c r="P101" s="43">
        <f>IF($C101="Squat",$F101,0)</f>
      </c>
      <c r="Q101" s="43">
        <f>IF($C101="Bench Press",$F101,0)</f>
      </c>
      <c r="R101" s="43">
        <f>IF($C101="Deadlift",$F101,0)</f>
      </c>
      <c r="S101" s="43">
        <f>IF($C101="Overhead Press",$F101,0)</f>
      </c>
      <c r="T101" s="43">
        <f>IF($C101="Power Clean",$F101,0)</f>
      </c>
    </row>
    <row r="102" spans="1:20" x14ac:dyDescent="0.25">
      <c r="A102" s="28" t="s">
        <v>0</v>
      </c>
      <c r="B102" s="28" t="s">
        <v>0</v>
      </c>
      <c r="C102" s="28" t="s">
        <v>0</v>
      </c>
      <c r="D102" s="43">
        <f>IF(C102="","",IF(OR(C102="Squat",C102="Bench Press",C102="Overhead Press",C102="Light Squat"),"3x5",IF(C102="Deadlift","1x5",IF(C102="Power Clean","5x3","3x10"))))</f>
      </c>
      <c r="E102" s="43">
        <f>IF(C102="","",IF(NOT(OR(C102="Squat",C102="Bench Press",C102="Deadlift",C102="Overhead Press",C102="Power Clean",C102="Light Squat")),"—",IF(C102="Light Squat",IF(COUNTIF(C$10:C101,"Light Squat")=0,ROUND(SUMPRODUCT(MAX((C$10:C101="Squat")*(N$10:N101="OK")*(F$10:F101)))*Settings!$B$37/100/5,0)*5,IF(SUMPRODUCT((C$10:C101="Light Squat")*(N$10:N101="OK")*1)=0,ROUND(SUMPRODUCT(MAX((C$10:C101="Squat")*(N$10:N101="OK")*(F$10:F101)))*Settings!$B$37/100/5,0)*5,SUMPRODUCT(MAX((C$10:C101="Light Squat")*(N$10:N101="OK")*(F$10:F101)))+Settings!$B$38)),IF(SUMPRODUCT((C$10:C101=C102)*(N$10:N101="OK")*1)=0,IF(C102="Squat",Settings!$B$5,IF(C102="Bench Press",Settings!$B$6,IF(C102="Deadlift",Settings!$B$7,IF(C102="Overhead Press",Settings!$B$8,IF(C102="Power Clean",Settings!$B$9,0))))),SUMPRODUCT(MAX((C$10:C101=C102)*(N$10:N101="OK")*(F$10:F101)))+IF(C102="Squat",Settings!$B$12,IF(C102="Bench Press",Settings!$B$13,IF(C102="Deadlift",Settings!$B$14,IF(C102="Overhead Press",Settings!$B$15,IF(C102="Power Clean",Settings!$B$16,0)))))))))</f>
      </c>
      <c r="F102" s="28" t="s">
        <v>0</v>
      </c>
      <c r="G102" s="28" t="s">
        <v>0</v>
      </c>
      <c r="H102" s="28" t="s">
        <v>0</v>
      </c>
      <c r="I102" s="28" t="s">
        <v>0</v>
      </c>
      <c r="J102" s="44" t="s">
        <v>0</v>
      </c>
      <c r="K102" s="44" t="s">
        <v>0</v>
      </c>
      <c r="L102" s="43">
        <f>IF(C102="","",SUM(G102:K102))</f>
      </c>
      <c r="M102" s="43">
        <f>IF(C102="","",IF(NOT(OR(C102="Squat",C102="Bench Press",C102="Deadlift",C102="Overhead Press",C102="Power Clean",C102="Light Squat")),30,IF(OR(C102="Squat",C102="Bench Press",C102="Overhead Press",C102="Light Squat"),15,IF(C102="Deadlift",5,IF(C102="Power Clean",15,0)))))</f>
      </c>
      <c r="N102" s="43">
        <f>IF(C102="","",IF(NOT(OR(C102="Squat",C102="Bench Press",C102="Deadlift",C102="Overhead Press",C102="Power Clean",C102="Light Squat")),"—",IF(L102&gt;=M102,"OK","STALL")))</f>
      </c>
      <c r="O102" s="43" t="s">
        <v>0</v>
      </c>
      <c r="P102" s="43">
        <f>IF($C102="Squat",$F102,0)</f>
      </c>
      <c r="Q102" s="43">
        <f>IF($C102="Bench Press",$F102,0)</f>
      </c>
      <c r="R102" s="43">
        <f>IF($C102="Deadlift",$F102,0)</f>
      </c>
      <c r="S102" s="43">
        <f>IF($C102="Overhead Press",$F102,0)</f>
      </c>
      <c r="T102" s="43">
        <f>IF($C102="Power Clean",$F102,0)</f>
      </c>
    </row>
    <row r="103" spans="1:20" x14ac:dyDescent="0.25">
      <c r="A103" s="28" t="s">
        <v>0</v>
      </c>
      <c r="B103" s="28" t="s">
        <v>0</v>
      </c>
      <c r="C103" s="28" t="s">
        <v>0</v>
      </c>
      <c r="D103" s="43">
        <f>IF(C103="","",IF(OR(C103="Squat",C103="Bench Press",C103="Overhead Press",C103="Light Squat"),"3x5",IF(C103="Deadlift","1x5",IF(C103="Power Clean","5x3","3x10"))))</f>
      </c>
      <c r="E103" s="43">
        <f>IF(C103="","",IF(NOT(OR(C103="Squat",C103="Bench Press",C103="Deadlift",C103="Overhead Press",C103="Power Clean",C103="Light Squat")),"—",IF(C103="Light Squat",IF(COUNTIF(C$10:C102,"Light Squat")=0,ROUND(SUMPRODUCT(MAX((C$10:C102="Squat")*(N$10:N102="OK")*(F$10:F102)))*Settings!$B$37/100/5,0)*5,IF(SUMPRODUCT((C$10:C102="Light Squat")*(N$10:N102="OK")*1)=0,ROUND(SUMPRODUCT(MAX((C$10:C102="Squat")*(N$10:N102="OK")*(F$10:F102)))*Settings!$B$37/100/5,0)*5,SUMPRODUCT(MAX((C$10:C102="Light Squat")*(N$10:N102="OK")*(F$10:F102)))+Settings!$B$38)),IF(SUMPRODUCT((C$10:C102=C103)*(N$10:N102="OK")*1)=0,IF(C103="Squat",Settings!$B$5,IF(C103="Bench Press",Settings!$B$6,IF(C103="Deadlift",Settings!$B$7,IF(C103="Overhead Press",Settings!$B$8,IF(C103="Power Clean",Settings!$B$9,0))))),SUMPRODUCT(MAX((C$10:C102=C103)*(N$10:N102="OK")*(F$10:F102)))+IF(C103="Squat",Settings!$B$12,IF(C103="Bench Press",Settings!$B$13,IF(C103="Deadlift",Settings!$B$14,IF(C103="Overhead Press",Settings!$B$15,IF(C103="Power Clean",Settings!$B$16,0)))))))))</f>
      </c>
      <c r="F103" s="28" t="s">
        <v>0</v>
      </c>
      <c r="G103" s="28" t="s">
        <v>0</v>
      </c>
      <c r="H103" s="28" t="s">
        <v>0</v>
      </c>
      <c r="I103" s="28" t="s">
        <v>0</v>
      </c>
      <c r="J103" s="44" t="s">
        <v>0</v>
      </c>
      <c r="K103" s="44" t="s">
        <v>0</v>
      </c>
      <c r="L103" s="43">
        <f>IF(C103="","",SUM(G103:K103))</f>
      </c>
      <c r="M103" s="43">
        <f>IF(C103="","",IF(NOT(OR(C103="Squat",C103="Bench Press",C103="Deadlift",C103="Overhead Press",C103="Power Clean",C103="Light Squat")),30,IF(OR(C103="Squat",C103="Bench Press",C103="Overhead Press",C103="Light Squat"),15,IF(C103="Deadlift",5,IF(C103="Power Clean",15,0)))))</f>
      </c>
      <c r="N103" s="43">
        <f>IF(C103="","",IF(NOT(OR(C103="Squat",C103="Bench Press",C103="Deadlift",C103="Overhead Press",C103="Power Clean",C103="Light Squat")),"—",IF(L103&gt;=M103,"OK","STALL")))</f>
      </c>
      <c r="O103" s="43" t="s">
        <v>0</v>
      </c>
      <c r="P103" s="43">
        <f>IF($C103="Squat",$F103,0)</f>
      </c>
      <c r="Q103" s="43">
        <f>IF($C103="Bench Press",$F103,0)</f>
      </c>
      <c r="R103" s="43">
        <f>IF($C103="Deadlift",$F103,0)</f>
      </c>
      <c r="S103" s="43">
        <f>IF($C103="Overhead Press",$F103,0)</f>
      </c>
      <c r="T103" s="43">
        <f>IF($C103="Power Clean",$F103,0)</f>
      </c>
    </row>
    <row r="104" spans="1:20" x14ac:dyDescent="0.25">
      <c r="A104" s="28" t="s">
        <v>0</v>
      </c>
      <c r="B104" s="28" t="s">
        <v>0</v>
      </c>
      <c r="C104" s="28" t="s">
        <v>0</v>
      </c>
      <c r="D104" s="43">
        <f>IF(C104="","",IF(OR(C104="Squat",C104="Bench Press",C104="Overhead Press",C104="Light Squat"),"3x5",IF(C104="Deadlift","1x5",IF(C104="Power Clean","5x3","3x10"))))</f>
      </c>
      <c r="E104" s="43">
        <f>IF(C104="","",IF(NOT(OR(C104="Squat",C104="Bench Press",C104="Deadlift",C104="Overhead Press",C104="Power Clean",C104="Light Squat")),"—",IF(C104="Light Squat",IF(COUNTIF(C$10:C103,"Light Squat")=0,ROUND(SUMPRODUCT(MAX((C$10:C103="Squat")*(N$10:N103="OK")*(F$10:F103)))*Settings!$B$37/100/5,0)*5,IF(SUMPRODUCT((C$10:C103="Light Squat")*(N$10:N103="OK")*1)=0,ROUND(SUMPRODUCT(MAX((C$10:C103="Squat")*(N$10:N103="OK")*(F$10:F103)))*Settings!$B$37/100/5,0)*5,SUMPRODUCT(MAX((C$10:C103="Light Squat")*(N$10:N103="OK")*(F$10:F103)))+Settings!$B$38)),IF(SUMPRODUCT((C$10:C103=C104)*(N$10:N103="OK")*1)=0,IF(C104="Squat",Settings!$B$5,IF(C104="Bench Press",Settings!$B$6,IF(C104="Deadlift",Settings!$B$7,IF(C104="Overhead Press",Settings!$B$8,IF(C104="Power Clean",Settings!$B$9,0))))),SUMPRODUCT(MAX((C$10:C103=C104)*(N$10:N103="OK")*(F$10:F103)))+IF(C104="Squat",Settings!$B$12,IF(C104="Bench Press",Settings!$B$13,IF(C104="Deadlift",Settings!$B$14,IF(C104="Overhead Press",Settings!$B$15,IF(C104="Power Clean",Settings!$B$16,0)))))))))</f>
      </c>
      <c r="F104" s="28" t="s">
        <v>0</v>
      </c>
      <c r="G104" s="28" t="s">
        <v>0</v>
      </c>
      <c r="H104" s="28" t="s">
        <v>0</v>
      </c>
      <c r="I104" s="28" t="s">
        <v>0</v>
      </c>
      <c r="J104" s="44" t="s">
        <v>0</v>
      </c>
      <c r="K104" s="44" t="s">
        <v>0</v>
      </c>
      <c r="L104" s="43">
        <f>IF(C104="","",SUM(G104:K104))</f>
      </c>
      <c r="M104" s="43">
        <f>IF(C104="","",IF(NOT(OR(C104="Squat",C104="Bench Press",C104="Deadlift",C104="Overhead Press",C104="Power Clean",C104="Light Squat")),30,IF(OR(C104="Squat",C104="Bench Press",C104="Overhead Press",C104="Light Squat"),15,IF(C104="Deadlift",5,IF(C104="Power Clean",15,0)))))</f>
      </c>
      <c r="N104" s="43">
        <f>IF(C104="","",IF(NOT(OR(C104="Squat",C104="Bench Press",C104="Deadlift",C104="Overhead Press",C104="Power Clean",C104="Light Squat")),"—",IF(L104&gt;=M104,"OK","STALL")))</f>
      </c>
      <c r="O104" s="43" t="s">
        <v>0</v>
      </c>
      <c r="P104" s="43">
        <f>IF($C104="Squat",$F104,0)</f>
      </c>
      <c r="Q104" s="43">
        <f>IF($C104="Bench Press",$F104,0)</f>
      </c>
      <c r="R104" s="43">
        <f>IF($C104="Deadlift",$F104,0)</f>
      </c>
      <c r="S104" s="43">
        <f>IF($C104="Overhead Press",$F104,0)</f>
      </c>
      <c r="T104" s="43">
        <f>IF($C104="Power Clean",$F104,0)</f>
      </c>
    </row>
    <row r="105" spans="1:20" x14ac:dyDescent="0.25">
      <c r="A105" s="28" t="s">
        <v>0</v>
      </c>
      <c r="B105" s="28" t="s">
        <v>0</v>
      </c>
      <c r="C105" s="28" t="s">
        <v>0</v>
      </c>
      <c r="D105" s="43">
        <f>IF(C105="","",IF(OR(C105="Squat",C105="Bench Press",C105="Overhead Press",C105="Light Squat"),"3x5",IF(C105="Deadlift","1x5",IF(C105="Power Clean","5x3","3x10"))))</f>
      </c>
      <c r="E105" s="43">
        <f>IF(C105="","",IF(NOT(OR(C105="Squat",C105="Bench Press",C105="Deadlift",C105="Overhead Press",C105="Power Clean",C105="Light Squat")),"—",IF(C105="Light Squat",IF(COUNTIF(C$10:C104,"Light Squat")=0,ROUND(SUMPRODUCT(MAX((C$10:C104="Squat")*(N$10:N104="OK")*(F$10:F104)))*Settings!$B$37/100/5,0)*5,IF(SUMPRODUCT((C$10:C104="Light Squat")*(N$10:N104="OK")*1)=0,ROUND(SUMPRODUCT(MAX((C$10:C104="Squat")*(N$10:N104="OK")*(F$10:F104)))*Settings!$B$37/100/5,0)*5,SUMPRODUCT(MAX((C$10:C104="Light Squat")*(N$10:N104="OK")*(F$10:F104)))+Settings!$B$38)),IF(SUMPRODUCT((C$10:C104=C105)*(N$10:N104="OK")*1)=0,IF(C105="Squat",Settings!$B$5,IF(C105="Bench Press",Settings!$B$6,IF(C105="Deadlift",Settings!$B$7,IF(C105="Overhead Press",Settings!$B$8,IF(C105="Power Clean",Settings!$B$9,0))))),SUMPRODUCT(MAX((C$10:C104=C105)*(N$10:N104="OK")*(F$10:F104)))+IF(C105="Squat",Settings!$B$12,IF(C105="Bench Press",Settings!$B$13,IF(C105="Deadlift",Settings!$B$14,IF(C105="Overhead Press",Settings!$B$15,IF(C105="Power Clean",Settings!$B$16,0)))))))))</f>
      </c>
      <c r="F105" s="28" t="s">
        <v>0</v>
      </c>
      <c r="G105" s="28" t="s">
        <v>0</v>
      </c>
      <c r="H105" s="28" t="s">
        <v>0</v>
      </c>
      <c r="I105" s="28" t="s">
        <v>0</v>
      </c>
      <c r="J105" s="44" t="s">
        <v>0</v>
      </c>
      <c r="K105" s="44" t="s">
        <v>0</v>
      </c>
      <c r="L105" s="43">
        <f>IF(C105="","",SUM(G105:K105))</f>
      </c>
      <c r="M105" s="43">
        <f>IF(C105="","",IF(NOT(OR(C105="Squat",C105="Bench Press",C105="Deadlift",C105="Overhead Press",C105="Power Clean",C105="Light Squat")),30,IF(OR(C105="Squat",C105="Bench Press",C105="Overhead Press",C105="Light Squat"),15,IF(C105="Deadlift",5,IF(C105="Power Clean",15,0)))))</f>
      </c>
      <c r="N105" s="43">
        <f>IF(C105="","",IF(NOT(OR(C105="Squat",C105="Bench Press",C105="Deadlift",C105="Overhead Press",C105="Power Clean",C105="Light Squat")),"—",IF(L105&gt;=M105,"OK","STALL")))</f>
      </c>
      <c r="O105" s="43" t="s">
        <v>0</v>
      </c>
      <c r="P105" s="43">
        <f>IF($C105="Squat",$F105,0)</f>
      </c>
      <c r="Q105" s="43">
        <f>IF($C105="Bench Press",$F105,0)</f>
      </c>
      <c r="R105" s="43">
        <f>IF($C105="Deadlift",$F105,0)</f>
      </c>
      <c r="S105" s="43">
        <f>IF($C105="Overhead Press",$F105,0)</f>
      </c>
      <c r="T105" s="43">
        <f>IF($C105="Power Clean",$F105,0)</f>
      </c>
    </row>
    <row r="106" spans="1:20" x14ac:dyDescent="0.25">
      <c r="A106" s="28" t="s">
        <v>0</v>
      </c>
      <c r="B106" s="28" t="s">
        <v>0</v>
      </c>
      <c r="C106" s="28" t="s">
        <v>0</v>
      </c>
      <c r="D106" s="43">
        <f>IF(C106="","",IF(OR(C106="Squat",C106="Bench Press",C106="Overhead Press",C106="Light Squat"),"3x5",IF(C106="Deadlift","1x5",IF(C106="Power Clean","5x3","3x10"))))</f>
      </c>
      <c r="E106" s="43">
        <f>IF(C106="","",IF(NOT(OR(C106="Squat",C106="Bench Press",C106="Deadlift",C106="Overhead Press",C106="Power Clean",C106="Light Squat")),"—",IF(C106="Light Squat",IF(COUNTIF(C$10:C105,"Light Squat")=0,ROUND(SUMPRODUCT(MAX((C$10:C105="Squat")*(N$10:N105="OK")*(F$10:F105)))*Settings!$B$37/100/5,0)*5,IF(SUMPRODUCT((C$10:C105="Light Squat")*(N$10:N105="OK")*1)=0,ROUND(SUMPRODUCT(MAX((C$10:C105="Squat")*(N$10:N105="OK")*(F$10:F105)))*Settings!$B$37/100/5,0)*5,SUMPRODUCT(MAX((C$10:C105="Light Squat")*(N$10:N105="OK")*(F$10:F105)))+Settings!$B$38)),IF(SUMPRODUCT((C$10:C105=C106)*(N$10:N105="OK")*1)=0,IF(C106="Squat",Settings!$B$5,IF(C106="Bench Press",Settings!$B$6,IF(C106="Deadlift",Settings!$B$7,IF(C106="Overhead Press",Settings!$B$8,IF(C106="Power Clean",Settings!$B$9,0))))),SUMPRODUCT(MAX((C$10:C105=C106)*(N$10:N105="OK")*(F$10:F105)))+IF(C106="Squat",Settings!$B$12,IF(C106="Bench Press",Settings!$B$13,IF(C106="Deadlift",Settings!$B$14,IF(C106="Overhead Press",Settings!$B$15,IF(C106="Power Clean",Settings!$B$16,0)))))))))</f>
      </c>
      <c r="F106" s="28" t="s">
        <v>0</v>
      </c>
      <c r="G106" s="28" t="s">
        <v>0</v>
      </c>
      <c r="H106" s="28" t="s">
        <v>0</v>
      </c>
      <c r="I106" s="28" t="s">
        <v>0</v>
      </c>
      <c r="J106" s="44" t="s">
        <v>0</v>
      </c>
      <c r="K106" s="44" t="s">
        <v>0</v>
      </c>
      <c r="L106" s="43">
        <f>IF(C106="","",SUM(G106:K106))</f>
      </c>
      <c r="M106" s="43">
        <f>IF(C106="","",IF(NOT(OR(C106="Squat",C106="Bench Press",C106="Deadlift",C106="Overhead Press",C106="Power Clean",C106="Light Squat")),30,IF(OR(C106="Squat",C106="Bench Press",C106="Overhead Press",C106="Light Squat"),15,IF(C106="Deadlift",5,IF(C106="Power Clean",15,0)))))</f>
      </c>
      <c r="N106" s="43">
        <f>IF(C106="","",IF(NOT(OR(C106="Squat",C106="Bench Press",C106="Deadlift",C106="Overhead Press",C106="Power Clean",C106="Light Squat")),"—",IF(L106&gt;=M106,"OK","STALL")))</f>
      </c>
      <c r="O106" s="43" t="s">
        <v>0</v>
      </c>
      <c r="P106" s="43">
        <f>IF($C106="Squat",$F106,0)</f>
      </c>
      <c r="Q106" s="43">
        <f>IF($C106="Bench Press",$F106,0)</f>
      </c>
      <c r="R106" s="43">
        <f>IF($C106="Deadlift",$F106,0)</f>
      </c>
      <c r="S106" s="43">
        <f>IF($C106="Overhead Press",$F106,0)</f>
      </c>
      <c r="T106" s="43">
        <f>IF($C106="Power Clean",$F106,0)</f>
      </c>
    </row>
    <row r="107" spans="1:20" x14ac:dyDescent="0.25">
      <c r="A107" s="28" t="s">
        <v>0</v>
      </c>
      <c r="B107" s="28" t="s">
        <v>0</v>
      </c>
      <c r="C107" s="28" t="s">
        <v>0</v>
      </c>
      <c r="D107" s="43">
        <f>IF(C107="","",IF(OR(C107="Squat",C107="Bench Press",C107="Overhead Press",C107="Light Squat"),"3x5",IF(C107="Deadlift","1x5",IF(C107="Power Clean","5x3","3x10"))))</f>
      </c>
      <c r="E107" s="43">
        <f>IF(C107="","",IF(NOT(OR(C107="Squat",C107="Bench Press",C107="Deadlift",C107="Overhead Press",C107="Power Clean",C107="Light Squat")),"—",IF(C107="Light Squat",IF(COUNTIF(C$10:C106,"Light Squat")=0,ROUND(SUMPRODUCT(MAX((C$10:C106="Squat")*(N$10:N106="OK")*(F$10:F106)))*Settings!$B$37/100/5,0)*5,IF(SUMPRODUCT((C$10:C106="Light Squat")*(N$10:N106="OK")*1)=0,ROUND(SUMPRODUCT(MAX((C$10:C106="Squat")*(N$10:N106="OK")*(F$10:F106)))*Settings!$B$37/100/5,0)*5,SUMPRODUCT(MAX((C$10:C106="Light Squat")*(N$10:N106="OK")*(F$10:F106)))+Settings!$B$38)),IF(SUMPRODUCT((C$10:C106=C107)*(N$10:N106="OK")*1)=0,IF(C107="Squat",Settings!$B$5,IF(C107="Bench Press",Settings!$B$6,IF(C107="Deadlift",Settings!$B$7,IF(C107="Overhead Press",Settings!$B$8,IF(C107="Power Clean",Settings!$B$9,0))))),SUMPRODUCT(MAX((C$10:C106=C107)*(N$10:N106="OK")*(F$10:F106)))+IF(C107="Squat",Settings!$B$12,IF(C107="Bench Press",Settings!$B$13,IF(C107="Deadlift",Settings!$B$14,IF(C107="Overhead Press",Settings!$B$15,IF(C107="Power Clean",Settings!$B$16,0)))))))))</f>
      </c>
      <c r="F107" s="28" t="s">
        <v>0</v>
      </c>
      <c r="G107" s="28" t="s">
        <v>0</v>
      </c>
      <c r="H107" s="28" t="s">
        <v>0</v>
      </c>
      <c r="I107" s="28" t="s">
        <v>0</v>
      </c>
      <c r="J107" s="44" t="s">
        <v>0</v>
      </c>
      <c r="K107" s="44" t="s">
        <v>0</v>
      </c>
      <c r="L107" s="43">
        <f>IF(C107="","",SUM(G107:K107))</f>
      </c>
      <c r="M107" s="43">
        <f>IF(C107="","",IF(NOT(OR(C107="Squat",C107="Bench Press",C107="Deadlift",C107="Overhead Press",C107="Power Clean",C107="Light Squat")),30,IF(OR(C107="Squat",C107="Bench Press",C107="Overhead Press",C107="Light Squat"),15,IF(C107="Deadlift",5,IF(C107="Power Clean",15,0)))))</f>
      </c>
      <c r="N107" s="43">
        <f>IF(C107="","",IF(NOT(OR(C107="Squat",C107="Bench Press",C107="Deadlift",C107="Overhead Press",C107="Power Clean",C107="Light Squat")),"—",IF(L107&gt;=M107,"OK","STALL")))</f>
      </c>
      <c r="O107" s="43" t="s">
        <v>0</v>
      </c>
      <c r="P107" s="43">
        <f>IF($C107="Squat",$F107,0)</f>
      </c>
      <c r="Q107" s="43">
        <f>IF($C107="Bench Press",$F107,0)</f>
      </c>
      <c r="R107" s="43">
        <f>IF($C107="Deadlift",$F107,0)</f>
      </c>
      <c r="S107" s="43">
        <f>IF($C107="Overhead Press",$F107,0)</f>
      </c>
      <c r="T107" s="43">
        <f>IF($C107="Power Clean",$F107,0)</f>
      </c>
    </row>
    <row r="108" spans="1:20" x14ac:dyDescent="0.25">
      <c r="A108" s="28" t="s">
        <v>0</v>
      </c>
      <c r="B108" s="28" t="s">
        <v>0</v>
      </c>
      <c r="C108" s="28" t="s">
        <v>0</v>
      </c>
      <c r="D108" s="43">
        <f>IF(C108="","",IF(OR(C108="Squat",C108="Bench Press",C108="Overhead Press",C108="Light Squat"),"3x5",IF(C108="Deadlift","1x5",IF(C108="Power Clean","5x3","3x10"))))</f>
      </c>
      <c r="E108" s="43">
        <f>IF(C108="","",IF(NOT(OR(C108="Squat",C108="Bench Press",C108="Deadlift",C108="Overhead Press",C108="Power Clean",C108="Light Squat")),"—",IF(C108="Light Squat",IF(COUNTIF(C$10:C107,"Light Squat")=0,ROUND(SUMPRODUCT(MAX((C$10:C107="Squat")*(N$10:N107="OK")*(F$10:F107)))*Settings!$B$37/100/5,0)*5,IF(SUMPRODUCT((C$10:C107="Light Squat")*(N$10:N107="OK")*1)=0,ROUND(SUMPRODUCT(MAX((C$10:C107="Squat")*(N$10:N107="OK")*(F$10:F107)))*Settings!$B$37/100/5,0)*5,SUMPRODUCT(MAX((C$10:C107="Light Squat")*(N$10:N107="OK")*(F$10:F107)))+Settings!$B$38)),IF(SUMPRODUCT((C$10:C107=C108)*(N$10:N107="OK")*1)=0,IF(C108="Squat",Settings!$B$5,IF(C108="Bench Press",Settings!$B$6,IF(C108="Deadlift",Settings!$B$7,IF(C108="Overhead Press",Settings!$B$8,IF(C108="Power Clean",Settings!$B$9,0))))),SUMPRODUCT(MAX((C$10:C107=C108)*(N$10:N107="OK")*(F$10:F107)))+IF(C108="Squat",Settings!$B$12,IF(C108="Bench Press",Settings!$B$13,IF(C108="Deadlift",Settings!$B$14,IF(C108="Overhead Press",Settings!$B$15,IF(C108="Power Clean",Settings!$B$16,0)))))))))</f>
      </c>
      <c r="F108" s="28" t="s">
        <v>0</v>
      </c>
      <c r="G108" s="28" t="s">
        <v>0</v>
      </c>
      <c r="H108" s="28" t="s">
        <v>0</v>
      </c>
      <c r="I108" s="28" t="s">
        <v>0</v>
      </c>
      <c r="J108" s="44" t="s">
        <v>0</v>
      </c>
      <c r="K108" s="44" t="s">
        <v>0</v>
      </c>
      <c r="L108" s="43">
        <f>IF(C108="","",SUM(G108:K108))</f>
      </c>
      <c r="M108" s="43">
        <f>IF(C108="","",IF(NOT(OR(C108="Squat",C108="Bench Press",C108="Deadlift",C108="Overhead Press",C108="Power Clean",C108="Light Squat")),30,IF(OR(C108="Squat",C108="Bench Press",C108="Overhead Press",C108="Light Squat"),15,IF(C108="Deadlift",5,IF(C108="Power Clean",15,0)))))</f>
      </c>
      <c r="N108" s="43">
        <f>IF(C108="","",IF(NOT(OR(C108="Squat",C108="Bench Press",C108="Deadlift",C108="Overhead Press",C108="Power Clean",C108="Light Squat")),"—",IF(L108&gt;=M108,"OK","STALL")))</f>
      </c>
      <c r="O108" s="43" t="s">
        <v>0</v>
      </c>
      <c r="P108" s="43">
        <f>IF($C108="Squat",$F108,0)</f>
      </c>
      <c r="Q108" s="43">
        <f>IF($C108="Bench Press",$F108,0)</f>
      </c>
      <c r="R108" s="43">
        <f>IF($C108="Deadlift",$F108,0)</f>
      </c>
      <c r="S108" s="43">
        <f>IF($C108="Overhead Press",$F108,0)</f>
      </c>
      <c r="T108" s="43">
        <f>IF($C108="Power Clean",$F108,0)</f>
      </c>
    </row>
    <row r="109" spans="1:20" x14ac:dyDescent="0.25">
      <c r="A109" s="28" t="s">
        <v>0</v>
      </c>
      <c r="B109" s="28" t="s">
        <v>0</v>
      </c>
      <c r="C109" s="28" t="s">
        <v>0</v>
      </c>
      <c r="D109" s="43">
        <f>IF(C109="","",IF(OR(C109="Squat",C109="Bench Press",C109="Overhead Press",C109="Light Squat"),"3x5",IF(C109="Deadlift","1x5",IF(C109="Power Clean","5x3","3x10"))))</f>
      </c>
      <c r="E109" s="43">
        <f>IF(C109="","",IF(NOT(OR(C109="Squat",C109="Bench Press",C109="Deadlift",C109="Overhead Press",C109="Power Clean",C109="Light Squat")),"—",IF(C109="Light Squat",IF(COUNTIF(C$10:C108,"Light Squat")=0,ROUND(SUMPRODUCT(MAX((C$10:C108="Squat")*(N$10:N108="OK")*(F$10:F108)))*Settings!$B$37/100/5,0)*5,IF(SUMPRODUCT((C$10:C108="Light Squat")*(N$10:N108="OK")*1)=0,ROUND(SUMPRODUCT(MAX((C$10:C108="Squat")*(N$10:N108="OK")*(F$10:F108)))*Settings!$B$37/100/5,0)*5,SUMPRODUCT(MAX((C$10:C108="Light Squat")*(N$10:N108="OK")*(F$10:F108)))+Settings!$B$38)),IF(SUMPRODUCT((C$10:C108=C109)*(N$10:N108="OK")*1)=0,IF(C109="Squat",Settings!$B$5,IF(C109="Bench Press",Settings!$B$6,IF(C109="Deadlift",Settings!$B$7,IF(C109="Overhead Press",Settings!$B$8,IF(C109="Power Clean",Settings!$B$9,0))))),SUMPRODUCT(MAX((C$10:C108=C109)*(N$10:N108="OK")*(F$10:F108)))+IF(C109="Squat",Settings!$B$12,IF(C109="Bench Press",Settings!$B$13,IF(C109="Deadlift",Settings!$B$14,IF(C109="Overhead Press",Settings!$B$15,IF(C109="Power Clean",Settings!$B$16,0)))))))))</f>
      </c>
      <c r="F109" s="28" t="s">
        <v>0</v>
      </c>
      <c r="G109" s="28" t="s">
        <v>0</v>
      </c>
      <c r="H109" s="28" t="s">
        <v>0</v>
      </c>
      <c r="I109" s="28" t="s">
        <v>0</v>
      </c>
      <c r="J109" s="44" t="s">
        <v>0</v>
      </c>
      <c r="K109" s="44" t="s">
        <v>0</v>
      </c>
      <c r="L109" s="43">
        <f>IF(C109="","",SUM(G109:K109))</f>
      </c>
      <c r="M109" s="43">
        <f>IF(C109="","",IF(NOT(OR(C109="Squat",C109="Bench Press",C109="Deadlift",C109="Overhead Press",C109="Power Clean",C109="Light Squat")),30,IF(OR(C109="Squat",C109="Bench Press",C109="Overhead Press",C109="Light Squat"),15,IF(C109="Deadlift",5,IF(C109="Power Clean",15,0)))))</f>
      </c>
      <c r="N109" s="43">
        <f>IF(C109="","",IF(NOT(OR(C109="Squat",C109="Bench Press",C109="Deadlift",C109="Overhead Press",C109="Power Clean",C109="Light Squat")),"—",IF(L109&gt;=M109,"OK","STALL")))</f>
      </c>
      <c r="O109" s="43" t="s">
        <v>0</v>
      </c>
      <c r="P109" s="43">
        <f>IF($C109="Squat",$F109,0)</f>
      </c>
      <c r="Q109" s="43">
        <f>IF($C109="Bench Press",$F109,0)</f>
      </c>
      <c r="R109" s="43">
        <f>IF($C109="Deadlift",$F109,0)</f>
      </c>
      <c r="S109" s="43">
        <f>IF($C109="Overhead Press",$F109,0)</f>
      </c>
      <c r="T109" s="43">
        <f>IF($C109="Power Clean",$F109,0)</f>
      </c>
    </row>
    <row r="110" spans="1:20" x14ac:dyDescent="0.25">
      <c r="A110" s="28" t="s">
        <v>0</v>
      </c>
      <c r="B110" s="28" t="s">
        <v>0</v>
      </c>
      <c r="C110" s="28" t="s">
        <v>0</v>
      </c>
      <c r="D110" s="43">
        <f>IF(C110="","",IF(OR(C110="Squat",C110="Bench Press",C110="Overhead Press",C110="Light Squat"),"3x5",IF(C110="Deadlift","1x5",IF(C110="Power Clean","5x3","3x10"))))</f>
      </c>
      <c r="E110" s="43">
        <f>IF(C110="","",IF(NOT(OR(C110="Squat",C110="Bench Press",C110="Deadlift",C110="Overhead Press",C110="Power Clean",C110="Light Squat")),"—",IF(C110="Light Squat",IF(COUNTIF(C$10:C109,"Light Squat")=0,ROUND(SUMPRODUCT(MAX((C$10:C109="Squat")*(N$10:N109="OK")*(F$10:F109)))*Settings!$B$37/100/5,0)*5,IF(SUMPRODUCT((C$10:C109="Light Squat")*(N$10:N109="OK")*1)=0,ROUND(SUMPRODUCT(MAX((C$10:C109="Squat")*(N$10:N109="OK")*(F$10:F109)))*Settings!$B$37/100/5,0)*5,SUMPRODUCT(MAX((C$10:C109="Light Squat")*(N$10:N109="OK")*(F$10:F109)))+Settings!$B$38)),IF(SUMPRODUCT((C$10:C109=C110)*(N$10:N109="OK")*1)=0,IF(C110="Squat",Settings!$B$5,IF(C110="Bench Press",Settings!$B$6,IF(C110="Deadlift",Settings!$B$7,IF(C110="Overhead Press",Settings!$B$8,IF(C110="Power Clean",Settings!$B$9,0))))),SUMPRODUCT(MAX((C$10:C109=C110)*(N$10:N109="OK")*(F$10:F109)))+IF(C110="Squat",Settings!$B$12,IF(C110="Bench Press",Settings!$B$13,IF(C110="Deadlift",Settings!$B$14,IF(C110="Overhead Press",Settings!$B$15,IF(C110="Power Clean",Settings!$B$16,0)))))))))</f>
      </c>
      <c r="F110" s="28" t="s">
        <v>0</v>
      </c>
      <c r="G110" s="28" t="s">
        <v>0</v>
      </c>
      <c r="H110" s="28" t="s">
        <v>0</v>
      </c>
      <c r="I110" s="28" t="s">
        <v>0</v>
      </c>
      <c r="J110" s="44" t="s">
        <v>0</v>
      </c>
      <c r="K110" s="44" t="s">
        <v>0</v>
      </c>
      <c r="L110" s="43">
        <f>IF(C110="","",SUM(G110:K110))</f>
      </c>
      <c r="M110" s="43">
        <f>IF(C110="","",IF(NOT(OR(C110="Squat",C110="Bench Press",C110="Deadlift",C110="Overhead Press",C110="Power Clean",C110="Light Squat")),30,IF(OR(C110="Squat",C110="Bench Press",C110="Overhead Press",C110="Light Squat"),15,IF(C110="Deadlift",5,IF(C110="Power Clean",15,0)))))</f>
      </c>
      <c r="N110" s="43">
        <f>IF(C110="","",IF(NOT(OR(C110="Squat",C110="Bench Press",C110="Deadlift",C110="Overhead Press",C110="Power Clean",C110="Light Squat")),"—",IF(L110&gt;=M110,"OK","STALL")))</f>
      </c>
      <c r="O110" s="43" t="s">
        <v>0</v>
      </c>
      <c r="P110" s="43">
        <f>IF($C110="Squat",$F110,0)</f>
      </c>
      <c r="Q110" s="43">
        <f>IF($C110="Bench Press",$F110,0)</f>
      </c>
      <c r="R110" s="43">
        <f>IF($C110="Deadlift",$F110,0)</f>
      </c>
      <c r="S110" s="43">
        <f>IF($C110="Overhead Press",$F110,0)</f>
      </c>
      <c r="T110" s="43">
        <f>IF($C110="Power Clean",$F110,0)</f>
      </c>
    </row>
    <row r="111" spans="1:20" x14ac:dyDescent="0.25">
      <c r="A111" s="28" t="s">
        <v>0</v>
      </c>
      <c r="B111" s="28" t="s">
        <v>0</v>
      </c>
      <c r="C111" s="28" t="s">
        <v>0</v>
      </c>
      <c r="D111" s="43">
        <f>IF(C111="","",IF(OR(C111="Squat",C111="Bench Press",C111="Overhead Press",C111="Light Squat"),"3x5",IF(C111="Deadlift","1x5",IF(C111="Power Clean","5x3","3x10"))))</f>
      </c>
      <c r="E111" s="43">
        <f>IF(C111="","",IF(NOT(OR(C111="Squat",C111="Bench Press",C111="Deadlift",C111="Overhead Press",C111="Power Clean",C111="Light Squat")),"—",IF(C111="Light Squat",IF(COUNTIF(C$10:C110,"Light Squat")=0,ROUND(SUMPRODUCT(MAX((C$10:C110="Squat")*(N$10:N110="OK")*(F$10:F110)))*Settings!$B$37/100/5,0)*5,IF(SUMPRODUCT((C$10:C110="Light Squat")*(N$10:N110="OK")*1)=0,ROUND(SUMPRODUCT(MAX((C$10:C110="Squat")*(N$10:N110="OK")*(F$10:F110)))*Settings!$B$37/100/5,0)*5,SUMPRODUCT(MAX((C$10:C110="Light Squat")*(N$10:N110="OK")*(F$10:F110)))+Settings!$B$38)),IF(SUMPRODUCT((C$10:C110=C111)*(N$10:N110="OK")*1)=0,IF(C111="Squat",Settings!$B$5,IF(C111="Bench Press",Settings!$B$6,IF(C111="Deadlift",Settings!$B$7,IF(C111="Overhead Press",Settings!$B$8,IF(C111="Power Clean",Settings!$B$9,0))))),SUMPRODUCT(MAX((C$10:C110=C111)*(N$10:N110="OK")*(F$10:F110)))+IF(C111="Squat",Settings!$B$12,IF(C111="Bench Press",Settings!$B$13,IF(C111="Deadlift",Settings!$B$14,IF(C111="Overhead Press",Settings!$B$15,IF(C111="Power Clean",Settings!$B$16,0)))))))))</f>
      </c>
      <c r="F111" s="28" t="s">
        <v>0</v>
      </c>
      <c r="G111" s="28" t="s">
        <v>0</v>
      </c>
      <c r="H111" s="28" t="s">
        <v>0</v>
      </c>
      <c r="I111" s="28" t="s">
        <v>0</v>
      </c>
      <c r="J111" s="44" t="s">
        <v>0</v>
      </c>
      <c r="K111" s="44" t="s">
        <v>0</v>
      </c>
      <c r="L111" s="43">
        <f>IF(C111="","",SUM(G111:K111))</f>
      </c>
      <c r="M111" s="43">
        <f>IF(C111="","",IF(NOT(OR(C111="Squat",C111="Bench Press",C111="Deadlift",C111="Overhead Press",C111="Power Clean",C111="Light Squat")),30,IF(OR(C111="Squat",C111="Bench Press",C111="Overhead Press",C111="Light Squat"),15,IF(C111="Deadlift",5,IF(C111="Power Clean",15,0)))))</f>
      </c>
      <c r="N111" s="43">
        <f>IF(C111="","",IF(NOT(OR(C111="Squat",C111="Bench Press",C111="Deadlift",C111="Overhead Press",C111="Power Clean",C111="Light Squat")),"—",IF(L111&gt;=M111,"OK","STALL")))</f>
      </c>
      <c r="O111" s="43" t="s">
        <v>0</v>
      </c>
      <c r="P111" s="43">
        <f>IF($C111="Squat",$F111,0)</f>
      </c>
      <c r="Q111" s="43">
        <f>IF($C111="Bench Press",$F111,0)</f>
      </c>
      <c r="R111" s="43">
        <f>IF($C111="Deadlift",$F111,0)</f>
      </c>
      <c r="S111" s="43">
        <f>IF($C111="Overhead Press",$F111,0)</f>
      </c>
      <c r="T111" s="43">
        <f>IF($C111="Power Clean",$F111,0)</f>
      </c>
    </row>
    <row r="112" spans="1:20" x14ac:dyDescent="0.25">
      <c r="A112" s="28" t="s">
        <v>0</v>
      </c>
      <c r="B112" s="28" t="s">
        <v>0</v>
      </c>
      <c r="C112" s="28" t="s">
        <v>0</v>
      </c>
      <c r="D112" s="43">
        <f>IF(C112="","",IF(OR(C112="Squat",C112="Bench Press",C112="Overhead Press",C112="Light Squat"),"3x5",IF(C112="Deadlift","1x5",IF(C112="Power Clean","5x3","3x10"))))</f>
      </c>
      <c r="E112" s="43">
        <f>IF(C112="","",IF(NOT(OR(C112="Squat",C112="Bench Press",C112="Deadlift",C112="Overhead Press",C112="Power Clean",C112="Light Squat")),"—",IF(C112="Light Squat",IF(COUNTIF(C$10:C111,"Light Squat")=0,ROUND(SUMPRODUCT(MAX((C$10:C111="Squat")*(N$10:N111="OK")*(F$10:F111)))*Settings!$B$37/100/5,0)*5,IF(SUMPRODUCT((C$10:C111="Light Squat")*(N$10:N111="OK")*1)=0,ROUND(SUMPRODUCT(MAX((C$10:C111="Squat")*(N$10:N111="OK")*(F$10:F111)))*Settings!$B$37/100/5,0)*5,SUMPRODUCT(MAX((C$10:C111="Light Squat")*(N$10:N111="OK")*(F$10:F111)))+Settings!$B$38)),IF(SUMPRODUCT((C$10:C111=C112)*(N$10:N111="OK")*1)=0,IF(C112="Squat",Settings!$B$5,IF(C112="Bench Press",Settings!$B$6,IF(C112="Deadlift",Settings!$B$7,IF(C112="Overhead Press",Settings!$B$8,IF(C112="Power Clean",Settings!$B$9,0))))),SUMPRODUCT(MAX((C$10:C111=C112)*(N$10:N111="OK")*(F$10:F111)))+IF(C112="Squat",Settings!$B$12,IF(C112="Bench Press",Settings!$B$13,IF(C112="Deadlift",Settings!$B$14,IF(C112="Overhead Press",Settings!$B$15,IF(C112="Power Clean",Settings!$B$16,0)))))))))</f>
      </c>
      <c r="F112" s="28" t="s">
        <v>0</v>
      </c>
      <c r="G112" s="28" t="s">
        <v>0</v>
      </c>
      <c r="H112" s="28" t="s">
        <v>0</v>
      </c>
      <c r="I112" s="28" t="s">
        <v>0</v>
      </c>
      <c r="J112" s="44" t="s">
        <v>0</v>
      </c>
      <c r="K112" s="44" t="s">
        <v>0</v>
      </c>
      <c r="L112" s="43">
        <f>IF(C112="","",SUM(G112:K112))</f>
      </c>
      <c r="M112" s="43">
        <f>IF(C112="","",IF(NOT(OR(C112="Squat",C112="Bench Press",C112="Deadlift",C112="Overhead Press",C112="Power Clean",C112="Light Squat")),30,IF(OR(C112="Squat",C112="Bench Press",C112="Overhead Press",C112="Light Squat"),15,IF(C112="Deadlift",5,IF(C112="Power Clean",15,0)))))</f>
      </c>
      <c r="N112" s="43">
        <f>IF(C112="","",IF(NOT(OR(C112="Squat",C112="Bench Press",C112="Deadlift",C112="Overhead Press",C112="Power Clean",C112="Light Squat")),"—",IF(L112&gt;=M112,"OK","STALL")))</f>
      </c>
      <c r="O112" s="43" t="s">
        <v>0</v>
      </c>
      <c r="P112" s="43">
        <f>IF($C112="Squat",$F112,0)</f>
      </c>
      <c r="Q112" s="43">
        <f>IF($C112="Bench Press",$F112,0)</f>
      </c>
      <c r="R112" s="43">
        <f>IF($C112="Deadlift",$F112,0)</f>
      </c>
      <c r="S112" s="43">
        <f>IF($C112="Overhead Press",$F112,0)</f>
      </c>
      <c r="T112" s="43">
        <f>IF($C112="Power Clean",$F112,0)</f>
      </c>
    </row>
    <row r="113" spans="1:20" x14ac:dyDescent="0.25">
      <c r="A113" s="28" t="s">
        <v>0</v>
      </c>
      <c r="B113" s="28" t="s">
        <v>0</v>
      </c>
      <c r="C113" s="28" t="s">
        <v>0</v>
      </c>
      <c r="D113" s="43">
        <f>IF(C113="","",IF(OR(C113="Squat",C113="Bench Press",C113="Overhead Press",C113="Light Squat"),"3x5",IF(C113="Deadlift","1x5",IF(C113="Power Clean","5x3","3x10"))))</f>
      </c>
      <c r="E113" s="43">
        <f>IF(C113="","",IF(NOT(OR(C113="Squat",C113="Bench Press",C113="Deadlift",C113="Overhead Press",C113="Power Clean",C113="Light Squat")),"—",IF(C113="Light Squat",IF(COUNTIF(C$10:C112,"Light Squat")=0,ROUND(SUMPRODUCT(MAX((C$10:C112="Squat")*(N$10:N112="OK")*(F$10:F112)))*Settings!$B$37/100/5,0)*5,IF(SUMPRODUCT((C$10:C112="Light Squat")*(N$10:N112="OK")*1)=0,ROUND(SUMPRODUCT(MAX((C$10:C112="Squat")*(N$10:N112="OK")*(F$10:F112)))*Settings!$B$37/100/5,0)*5,SUMPRODUCT(MAX((C$10:C112="Light Squat")*(N$10:N112="OK")*(F$10:F112)))+Settings!$B$38)),IF(SUMPRODUCT((C$10:C112=C113)*(N$10:N112="OK")*1)=0,IF(C113="Squat",Settings!$B$5,IF(C113="Bench Press",Settings!$B$6,IF(C113="Deadlift",Settings!$B$7,IF(C113="Overhead Press",Settings!$B$8,IF(C113="Power Clean",Settings!$B$9,0))))),SUMPRODUCT(MAX((C$10:C112=C113)*(N$10:N112="OK")*(F$10:F112)))+IF(C113="Squat",Settings!$B$12,IF(C113="Bench Press",Settings!$B$13,IF(C113="Deadlift",Settings!$B$14,IF(C113="Overhead Press",Settings!$B$15,IF(C113="Power Clean",Settings!$B$16,0)))))))))</f>
      </c>
      <c r="F113" s="28" t="s">
        <v>0</v>
      </c>
      <c r="G113" s="28" t="s">
        <v>0</v>
      </c>
      <c r="H113" s="28" t="s">
        <v>0</v>
      </c>
      <c r="I113" s="28" t="s">
        <v>0</v>
      </c>
      <c r="J113" s="44" t="s">
        <v>0</v>
      </c>
      <c r="K113" s="44" t="s">
        <v>0</v>
      </c>
      <c r="L113" s="43">
        <f>IF(C113="","",SUM(G113:K113))</f>
      </c>
      <c r="M113" s="43">
        <f>IF(C113="","",IF(NOT(OR(C113="Squat",C113="Bench Press",C113="Deadlift",C113="Overhead Press",C113="Power Clean",C113="Light Squat")),30,IF(OR(C113="Squat",C113="Bench Press",C113="Overhead Press",C113="Light Squat"),15,IF(C113="Deadlift",5,IF(C113="Power Clean",15,0)))))</f>
      </c>
      <c r="N113" s="43">
        <f>IF(C113="","",IF(NOT(OR(C113="Squat",C113="Bench Press",C113="Deadlift",C113="Overhead Press",C113="Power Clean",C113="Light Squat")),"—",IF(L113&gt;=M113,"OK","STALL")))</f>
      </c>
      <c r="O113" s="43" t="s">
        <v>0</v>
      </c>
      <c r="P113" s="43">
        <f>IF($C113="Squat",$F113,0)</f>
      </c>
      <c r="Q113" s="43">
        <f>IF($C113="Bench Press",$F113,0)</f>
      </c>
      <c r="R113" s="43">
        <f>IF($C113="Deadlift",$F113,0)</f>
      </c>
      <c r="S113" s="43">
        <f>IF($C113="Overhead Press",$F113,0)</f>
      </c>
      <c r="T113" s="43">
        <f>IF($C113="Power Clean",$F113,0)</f>
      </c>
    </row>
    <row r="114" spans="1:20" x14ac:dyDescent="0.25">
      <c r="A114" s="28" t="s">
        <v>0</v>
      </c>
      <c r="B114" s="28" t="s">
        <v>0</v>
      </c>
      <c r="C114" s="28" t="s">
        <v>0</v>
      </c>
      <c r="D114" s="43">
        <f>IF(C114="","",IF(OR(C114="Squat",C114="Bench Press",C114="Overhead Press",C114="Light Squat"),"3x5",IF(C114="Deadlift","1x5",IF(C114="Power Clean","5x3","3x10"))))</f>
      </c>
      <c r="E114" s="43">
        <f>IF(C114="","",IF(NOT(OR(C114="Squat",C114="Bench Press",C114="Deadlift",C114="Overhead Press",C114="Power Clean",C114="Light Squat")),"—",IF(C114="Light Squat",IF(COUNTIF(C$10:C113,"Light Squat")=0,ROUND(SUMPRODUCT(MAX((C$10:C113="Squat")*(N$10:N113="OK")*(F$10:F113)))*Settings!$B$37/100/5,0)*5,IF(SUMPRODUCT((C$10:C113="Light Squat")*(N$10:N113="OK")*1)=0,ROUND(SUMPRODUCT(MAX((C$10:C113="Squat")*(N$10:N113="OK")*(F$10:F113)))*Settings!$B$37/100/5,0)*5,SUMPRODUCT(MAX((C$10:C113="Light Squat")*(N$10:N113="OK")*(F$10:F113)))+Settings!$B$38)),IF(SUMPRODUCT((C$10:C113=C114)*(N$10:N113="OK")*1)=0,IF(C114="Squat",Settings!$B$5,IF(C114="Bench Press",Settings!$B$6,IF(C114="Deadlift",Settings!$B$7,IF(C114="Overhead Press",Settings!$B$8,IF(C114="Power Clean",Settings!$B$9,0))))),SUMPRODUCT(MAX((C$10:C113=C114)*(N$10:N113="OK")*(F$10:F113)))+IF(C114="Squat",Settings!$B$12,IF(C114="Bench Press",Settings!$B$13,IF(C114="Deadlift",Settings!$B$14,IF(C114="Overhead Press",Settings!$B$15,IF(C114="Power Clean",Settings!$B$16,0)))))))))</f>
      </c>
      <c r="F114" s="28" t="s">
        <v>0</v>
      </c>
      <c r="G114" s="28" t="s">
        <v>0</v>
      </c>
      <c r="H114" s="28" t="s">
        <v>0</v>
      </c>
      <c r="I114" s="28" t="s">
        <v>0</v>
      </c>
      <c r="J114" s="44" t="s">
        <v>0</v>
      </c>
      <c r="K114" s="44" t="s">
        <v>0</v>
      </c>
      <c r="L114" s="43">
        <f>IF(C114="","",SUM(G114:K114))</f>
      </c>
      <c r="M114" s="43">
        <f>IF(C114="","",IF(NOT(OR(C114="Squat",C114="Bench Press",C114="Deadlift",C114="Overhead Press",C114="Power Clean",C114="Light Squat")),30,IF(OR(C114="Squat",C114="Bench Press",C114="Overhead Press",C114="Light Squat"),15,IF(C114="Deadlift",5,IF(C114="Power Clean",15,0)))))</f>
      </c>
      <c r="N114" s="43">
        <f>IF(C114="","",IF(NOT(OR(C114="Squat",C114="Bench Press",C114="Deadlift",C114="Overhead Press",C114="Power Clean",C114="Light Squat")),"—",IF(L114&gt;=M114,"OK","STALL")))</f>
      </c>
      <c r="O114" s="43" t="s">
        <v>0</v>
      </c>
      <c r="P114" s="43">
        <f>IF($C114="Squat",$F114,0)</f>
      </c>
      <c r="Q114" s="43">
        <f>IF($C114="Bench Press",$F114,0)</f>
      </c>
      <c r="R114" s="43">
        <f>IF($C114="Deadlift",$F114,0)</f>
      </c>
      <c r="S114" s="43">
        <f>IF($C114="Overhead Press",$F114,0)</f>
      </c>
      <c r="T114" s="43">
        <f>IF($C114="Power Clean",$F114,0)</f>
      </c>
    </row>
    <row r="115" spans="1:20" x14ac:dyDescent="0.25">
      <c r="A115" s="28" t="s">
        <v>0</v>
      </c>
      <c r="B115" s="28" t="s">
        <v>0</v>
      </c>
      <c r="C115" s="28" t="s">
        <v>0</v>
      </c>
      <c r="D115" s="43">
        <f>IF(C115="","",IF(OR(C115="Squat",C115="Bench Press",C115="Overhead Press",C115="Light Squat"),"3x5",IF(C115="Deadlift","1x5",IF(C115="Power Clean","5x3","3x10"))))</f>
      </c>
      <c r="E115" s="43">
        <f>IF(C115="","",IF(NOT(OR(C115="Squat",C115="Bench Press",C115="Deadlift",C115="Overhead Press",C115="Power Clean",C115="Light Squat")),"—",IF(C115="Light Squat",IF(COUNTIF(C$10:C114,"Light Squat")=0,ROUND(SUMPRODUCT(MAX((C$10:C114="Squat")*(N$10:N114="OK")*(F$10:F114)))*Settings!$B$37/100/5,0)*5,IF(SUMPRODUCT((C$10:C114="Light Squat")*(N$10:N114="OK")*1)=0,ROUND(SUMPRODUCT(MAX((C$10:C114="Squat")*(N$10:N114="OK")*(F$10:F114)))*Settings!$B$37/100/5,0)*5,SUMPRODUCT(MAX((C$10:C114="Light Squat")*(N$10:N114="OK")*(F$10:F114)))+Settings!$B$38)),IF(SUMPRODUCT((C$10:C114=C115)*(N$10:N114="OK")*1)=0,IF(C115="Squat",Settings!$B$5,IF(C115="Bench Press",Settings!$B$6,IF(C115="Deadlift",Settings!$B$7,IF(C115="Overhead Press",Settings!$B$8,IF(C115="Power Clean",Settings!$B$9,0))))),SUMPRODUCT(MAX((C$10:C114=C115)*(N$10:N114="OK")*(F$10:F114)))+IF(C115="Squat",Settings!$B$12,IF(C115="Bench Press",Settings!$B$13,IF(C115="Deadlift",Settings!$B$14,IF(C115="Overhead Press",Settings!$B$15,IF(C115="Power Clean",Settings!$B$16,0)))))))))</f>
      </c>
      <c r="F115" s="28" t="s">
        <v>0</v>
      </c>
      <c r="G115" s="28" t="s">
        <v>0</v>
      </c>
      <c r="H115" s="28" t="s">
        <v>0</v>
      </c>
      <c r="I115" s="28" t="s">
        <v>0</v>
      </c>
      <c r="J115" s="44" t="s">
        <v>0</v>
      </c>
      <c r="K115" s="44" t="s">
        <v>0</v>
      </c>
      <c r="L115" s="43">
        <f>IF(C115="","",SUM(G115:K115))</f>
      </c>
      <c r="M115" s="43">
        <f>IF(C115="","",IF(NOT(OR(C115="Squat",C115="Bench Press",C115="Deadlift",C115="Overhead Press",C115="Power Clean",C115="Light Squat")),30,IF(OR(C115="Squat",C115="Bench Press",C115="Overhead Press",C115="Light Squat"),15,IF(C115="Deadlift",5,IF(C115="Power Clean",15,0)))))</f>
      </c>
      <c r="N115" s="43">
        <f>IF(C115="","",IF(NOT(OR(C115="Squat",C115="Bench Press",C115="Deadlift",C115="Overhead Press",C115="Power Clean",C115="Light Squat")),"—",IF(L115&gt;=M115,"OK","STALL")))</f>
      </c>
      <c r="O115" s="43" t="s">
        <v>0</v>
      </c>
      <c r="P115" s="43">
        <f>IF($C115="Squat",$F115,0)</f>
      </c>
      <c r="Q115" s="43">
        <f>IF($C115="Bench Press",$F115,0)</f>
      </c>
      <c r="R115" s="43">
        <f>IF($C115="Deadlift",$F115,0)</f>
      </c>
      <c r="S115" s="43">
        <f>IF($C115="Overhead Press",$F115,0)</f>
      </c>
      <c r="T115" s="43">
        <f>IF($C115="Power Clean",$F115,0)</f>
      </c>
    </row>
    <row r="116" spans="1:20" x14ac:dyDescent="0.25">
      <c r="A116" s="28" t="s">
        <v>0</v>
      </c>
      <c r="B116" s="28" t="s">
        <v>0</v>
      </c>
      <c r="C116" s="28" t="s">
        <v>0</v>
      </c>
      <c r="D116" s="43">
        <f>IF(C116="","",IF(OR(C116="Squat",C116="Bench Press",C116="Overhead Press",C116="Light Squat"),"3x5",IF(C116="Deadlift","1x5",IF(C116="Power Clean","5x3","3x10"))))</f>
      </c>
      <c r="E116" s="43">
        <f>IF(C116="","",IF(NOT(OR(C116="Squat",C116="Bench Press",C116="Deadlift",C116="Overhead Press",C116="Power Clean",C116="Light Squat")),"—",IF(C116="Light Squat",IF(COUNTIF(C$10:C115,"Light Squat")=0,ROUND(SUMPRODUCT(MAX((C$10:C115="Squat")*(N$10:N115="OK")*(F$10:F115)))*Settings!$B$37/100/5,0)*5,IF(SUMPRODUCT((C$10:C115="Light Squat")*(N$10:N115="OK")*1)=0,ROUND(SUMPRODUCT(MAX((C$10:C115="Squat")*(N$10:N115="OK")*(F$10:F115)))*Settings!$B$37/100/5,0)*5,SUMPRODUCT(MAX((C$10:C115="Light Squat")*(N$10:N115="OK")*(F$10:F115)))+Settings!$B$38)),IF(SUMPRODUCT((C$10:C115=C116)*(N$10:N115="OK")*1)=0,IF(C116="Squat",Settings!$B$5,IF(C116="Bench Press",Settings!$B$6,IF(C116="Deadlift",Settings!$B$7,IF(C116="Overhead Press",Settings!$B$8,IF(C116="Power Clean",Settings!$B$9,0))))),SUMPRODUCT(MAX((C$10:C115=C116)*(N$10:N115="OK")*(F$10:F115)))+IF(C116="Squat",Settings!$B$12,IF(C116="Bench Press",Settings!$B$13,IF(C116="Deadlift",Settings!$B$14,IF(C116="Overhead Press",Settings!$B$15,IF(C116="Power Clean",Settings!$B$16,0)))))))))</f>
      </c>
      <c r="F116" s="28" t="s">
        <v>0</v>
      </c>
      <c r="G116" s="28" t="s">
        <v>0</v>
      </c>
      <c r="H116" s="28" t="s">
        <v>0</v>
      </c>
      <c r="I116" s="28" t="s">
        <v>0</v>
      </c>
      <c r="J116" s="44" t="s">
        <v>0</v>
      </c>
      <c r="K116" s="44" t="s">
        <v>0</v>
      </c>
      <c r="L116" s="43">
        <f>IF(C116="","",SUM(G116:K116))</f>
      </c>
      <c r="M116" s="43">
        <f>IF(C116="","",IF(NOT(OR(C116="Squat",C116="Bench Press",C116="Deadlift",C116="Overhead Press",C116="Power Clean",C116="Light Squat")),30,IF(OR(C116="Squat",C116="Bench Press",C116="Overhead Press",C116="Light Squat"),15,IF(C116="Deadlift",5,IF(C116="Power Clean",15,0)))))</f>
      </c>
      <c r="N116" s="43">
        <f>IF(C116="","",IF(NOT(OR(C116="Squat",C116="Bench Press",C116="Deadlift",C116="Overhead Press",C116="Power Clean",C116="Light Squat")),"—",IF(L116&gt;=M116,"OK","STALL")))</f>
      </c>
      <c r="O116" s="43" t="s">
        <v>0</v>
      </c>
      <c r="P116" s="43">
        <f>IF($C116="Squat",$F116,0)</f>
      </c>
      <c r="Q116" s="43">
        <f>IF($C116="Bench Press",$F116,0)</f>
      </c>
      <c r="R116" s="43">
        <f>IF($C116="Deadlift",$F116,0)</f>
      </c>
      <c r="S116" s="43">
        <f>IF($C116="Overhead Press",$F116,0)</f>
      </c>
      <c r="T116" s="43">
        <f>IF($C116="Power Clean",$F116,0)</f>
      </c>
    </row>
    <row r="117" spans="1:20" x14ac:dyDescent="0.25">
      <c r="A117" s="28" t="s">
        <v>0</v>
      </c>
      <c r="B117" s="28" t="s">
        <v>0</v>
      </c>
      <c r="C117" s="28" t="s">
        <v>0</v>
      </c>
      <c r="D117" s="43">
        <f>IF(C117="","",IF(OR(C117="Squat",C117="Bench Press",C117="Overhead Press",C117="Light Squat"),"3x5",IF(C117="Deadlift","1x5",IF(C117="Power Clean","5x3","3x10"))))</f>
      </c>
      <c r="E117" s="43">
        <f>IF(C117="","",IF(NOT(OR(C117="Squat",C117="Bench Press",C117="Deadlift",C117="Overhead Press",C117="Power Clean",C117="Light Squat")),"—",IF(C117="Light Squat",IF(COUNTIF(C$10:C116,"Light Squat")=0,ROUND(SUMPRODUCT(MAX((C$10:C116="Squat")*(N$10:N116="OK")*(F$10:F116)))*Settings!$B$37/100/5,0)*5,IF(SUMPRODUCT((C$10:C116="Light Squat")*(N$10:N116="OK")*1)=0,ROUND(SUMPRODUCT(MAX((C$10:C116="Squat")*(N$10:N116="OK")*(F$10:F116)))*Settings!$B$37/100/5,0)*5,SUMPRODUCT(MAX((C$10:C116="Light Squat")*(N$10:N116="OK")*(F$10:F116)))+Settings!$B$38)),IF(SUMPRODUCT((C$10:C116=C117)*(N$10:N116="OK")*1)=0,IF(C117="Squat",Settings!$B$5,IF(C117="Bench Press",Settings!$B$6,IF(C117="Deadlift",Settings!$B$7,IF(C117="Overhead Press",Settings!$B$8,IF(C117="Power Clean",Settings!$B$9,0))))),SUMPRODUCT(MAX((C$10:C116=C117)*(N$10:N116="OK")*(F$10:F116)))+IF(C117="Squat",Settings!$B$12,IF(C117="Bench Press",Settings!$B$13,IF(C117="Deadlift",Settings!$B$14,IF(C117="Overhead Press",Settings!$B$15,IF(C117="Power Clean",Settings!$B$16,0)))))))))</f>
      </c>
      <c r="F117" s="28" t="s">
        <v>0</v>
      </c>
      <c r="G117" s="28" t="s">
        <v>0</v>
      </c>
      <c r="H117" s="28" t="s">
        <v>0</v>
      </c>
      <c r="I117" s="28" t="s">
        <v>0</v>
      </c>
      <c r="J117" s="44" t="s">
        <v>0</v>
      </c>
      <c r="K117" s="44" t="s">
        <v>0</v>
      </c>
      <c r="L117" s="43">
        <f>IF(C117="","",SUM(G117:K117))</f>
      </c>
      <c r="M117" s="43">
        <f>IF(C117="","",IF(NOT(OR(C117="Squat",C117="Bench Press",C117="Deadlift",C117="Overhead Press",C117="Power Clean",C117="Light Squat")),30,IF(OR(C117="Squat",C117="Bench Press",C117="Overhead Press",C117="Light Squat"),15,IF(C117="Deadlift",5,IF(C117="Power Clean",15,0)))))</f>
      </c>
      <c r="N117" s="43">
        <f>IF(C117="","",IF(NOT(OR(C117="Squat",C117="Bench Press",C117="Deadlift",C117="Overhead Press",C117="Power Clean",C117="Light Squat")),"—",IF(L117&gt;=M117,"OK","STALL")))</f>
      </c>
      <c r="O117" s="43" t="s">
        <v>0</v>
      </c>
      <c r="P117" s="43">
        <f>IF($C117="Squat",$F117,0)</f>
      </c>
      <c r="Q117" s="43">
        <f>IF($C117="Bench Press",$F117,0)</f>
      </c>
      <c r="R117" s="43">
        <f>IF($C117="Deadlift",$F117,0)</f>
      </c>
      <c r="S117" s="43">
        <f>IF($C117="Overhead Press",$F117,0)</f>
      </c>
      <c r="T117" s="43">
        <f>IF($C117="Power Clean",$F117,0)</f>
      </c>
    </row>
    <row r="118" spans="1:20" x14ac:dyDescent="0.25">
      <c r="A118" s="28" t="s">
        <v>0</v>
      </c>
      <c r="B118" s="28" t="s">
        <v>0</v>
      </c>
      <c r="C118" s="28" t="s">
        <v>0</v>
      </c>
      <c r="D118" s="43">
        <f>IF(C118="","",IF(OR(C118="Squat",C118="Bench Press",C118="Overhead Press",C118="Light Squat"),"3x5",IF(C118="Deadlift","1x5",IF(C118="Power Clean","5x3","3x10"))))</f>
      </c>
      <c r="E118" s="43">
        <f>IF(C118="","",IF(NOT(OR(C118="Squat",C118="Bench Press",C118="Deadlift",C118="Overhead Press",C118="Power Clean",C118="Light Squat")),"—",IF(C118="Light Squat",IF(COUNTIF(C$10:C117,"Light Squat")=0,ROUND(SUMPRODUCT(MAX((C$10:C117="Squat")*(N$10:N117="OK")*(F$10:F117)))*Settings!$B$37/100/5,0)*5,IF(SUMPRODUCT((C$10:C117="Light Squat")*(N$10:N117="OK")*1)=0,ROUND(SUMPRODUCT(MAX((C$10:C117="Squat")*(N$10:N117="OK")*(F$10:F117)))*Settings!$B$37/100/5,0)*5,SUMPRODUCT(MAX((C$10:C117="Light Squat")*(N$10:N117="OK")*(F$10:F117)))+Settings!$B$38)),IF(SUMPRODUCT((C$10:C117=C118)*(N$10:N117="OK")*1)=0,IF(C118="Squat",Settings!$B$5,IF(C118="Bench Press",Settings!$B$6,IF(C118="Deadlift",Settings!$B$7,IF(C118="Overhead Press",Settings!$B$8,IF(C118="Power Clean",Settings!$B$9,0))))),SUMPRODUCT(MAX((C$10:C117=C118)*(N$10:N117="OK")*(F$10:F117)))+IF(C118="Squat",Settings!$B$12,IF(C118="Bench Press",Settings!$B$13,IF(C118="Deadlift",Settings!$B$14,IF(C118="Overhead Press",Settings!$B$15,IF(C118="Power Clean",Settings!$B$16,0)))))))))</f>
      </c>
      <c r="F118" s="28" t="s">
        <v>0</v>
      </c>
      <c r="G118" s="28" t="s">
        <v>0</v>
      </c>
      <c r="H118" s="28" t="s">
        <v>0</v>
      </c>
      <c r="I118" s="28" t="s">
        <v>0</v>
      </c>
      <c r="J118" s="44" t="s">
        <v>0</v>
      </c>
      <c r="K118" s="44" t="s">
        <v>0</v>
      </c>
      <c r="L118" s="43">
        <f>IF(C118="","",SUM(G118:K118))</f>
      </c>
      <c r="M118" s="43">
        <f>IF(C118="","",IF(NOT(OR(C118="Squat",C118="Bench Press",C118="Deadlift",C118="Overhead Press",C118="Power Clean",C118="Light Squat")),30,IF(OR(C118="Squat",C118="Bench Press",C118="Overhead Press",C118="Light Squat"),15,IF(C118="Deadlift",5,IF(C118="Power Clean",15,0)))))</f>
      </c>
      <c r="N118" s="43">
        <f>IF(C118="","",IF(NOT(OR(C118="Squat",C118="Bench Press",C118="Deadlift",C118="Overhead Press",C118="Power Clean",C118="Light Squat")),"—",IF(L118&gt;=M118,"OK","STALL")))</f>
      </c>
      <c r="O118" s="43" t="s">
        <v>0</v>
      </c>
      <c r="P118" s="43">
        <f>IF($C118="Squat",$F118,0)</f>
      </c>
      <c r="Q118" s="43">
        <f>IF($C118="Bench Press",$F118,0)</f>
      </c>
      <c r="R118" s="43">
        <f>IF($C118="Deadlift",$F118,0)</f>
      </c>
      <c r="S118" s="43">
        <f>IF($C118="Overhead Press",$F118,0)</f>
      </c>
      <c r="T118" s="43">
        <f>IF($C118="Power Clean",$F118,0)</f>
      </c>
    </row>
    <row r="119" spans="1:20" x14ac:dyDescent="0.25">
      <c r="A119" s="28" t="s">
        <v>0</v>
      </c>
      <c r="B119" s="28" t="s">
        <v>0</v>
      </c>
      <c r="C119" s="28" t="s">
        <v>0</v>
      </c>
      <c r="D119" s="43">
        <f>IF(C119="","",IF(OR(C119="Squat",C119="Bench Press",C119="Overhead Press",C119="Light Squat"),"3x5",IF(C119="Deadlift","1x5",IF(C119="Power Clean","5x3","3x10"))))</f>
      </c>
      <c r="E119" s="43">
        <f>IF(C119="","",IF(NOT(OR(C119="Squat",C119="Bench Press",C119="Deadlift",C119="Overhead Press",C119="Power Clean",C119="Light Squat")),"—",IF(C119="Light Squat",IF(COUNTIF(C$10:C118,"Light Squat")=0,ROUND(SUMPRODUCT(MAX((C$10:C118="Squat")*(N$10:N118="OK")*(F$10:F118)))*Settings!$B$37/100/5,0)*5,IF(SUMPRODUCT((C$10:C118="Light Squat")*(N$10:N118="OK")*1)=0,ROUND(SUMPRODUCT(MAX((C$10:C118="Squat")*(N$10:N118="OK")*(F$10:F118)))*Settings!$B$37/100/5,0)*5,SUMPRODUCT(MAX((C$10:C118="Light Squat")*(N$10:N118="OK")*(F$10:F118)))+Settings!$B$38)),IF(SUMPRODUCT((C$10:C118=C119)*(N$10:N118="OK")*1)=0,IF(C119="Squat",Settings!$B$5,IF(C119="Bench Press",Settings!$B$6,IF(C119="Deadlift",Settings!$B$7,IF(C119="Overhead Press",Settings!$B$8,IF(C119="Power Clean",Settings!$B$9,0))))),SUMPRODUCT(MAX((C$10:C118=C119)*(N$10:N118="OK")*(F$10:F118)))+IF(C119="Squat",Settings!$B$12,IF(C119="Bench Press",Settings!$B$13,IF(C119="Deadlift",Settings!$B$14,IF(C119="Overhead Press",Settings!$B$15,IF(C119="Power Clean",Settings!$B$16,0)))))))))</f>
      </c>
      <c r="F119" s="28" t="s">
        <v>0</v>
      </c>
      <c r="G119" s="28" t="s">
        <v>0</v>
      </c>
      <c r="H119" s="28" t="s">
        <v>0</v>
      </c>
      <c r="I119" s="28" t="s">
        <v>0</v>
      </c>
      <c r="J119" s="44" t="s">
        <v>0</v>
      </c>
      <c r="K119" s="44" t="s">
        <v>0</v>
      </c>
      <c r="L119" s="43">
        <f>IF(C119="","",SUM(G119:K119))</f>
      </c>
      <c r="M119" s="43">
        <f>IF(C119="","",IF(NOT(OR(C119="Squat",C119="Bench Press",C119="Deadlift",C119="Overhead Press",C119="Power Clean",C119="Light Squat")),30,IF(OR(C119="Squat",C119="Bench Press",C119="Overhead Press",C119="Light Squat"),15,IF(C119="Deadlift",5,IF(C119="Power Clean",15,0)))))</f>
      </c>
      <c r="N119" s="43">
        <f>IF(C119="","",IF(NOT(OR(C119="Squat",C119="Bench Press",C119="Deadlift",C119="Overhead Press",C119="Power Clean",C119="Light Squat")),"—",IF(L119&gt;=M119,"OK","STALL")))</f>
      </c>
      <c r="O119" s="43" t="s">
        <v>0</v>
      </c>
      <c r="P119" s="43">
        <f>IF($C119="Squat",$F119,0)</f>
      </c>
      <c r="Q119" s="43">
        <f>IF($C119="Bench Press",$F119,0)</f>
      </c>
      <c r="R119" s="43">
        <f>IF($C119="Deadlift",$F119,0)</f>
      </c>
      <c r="S119" s="43">
        <f>IF($C119="Overhead Press",$F119,0)</f>
      </c>
      <c r="T119" s="43">
        <f>IF($C119="Power Clean",$F119,0)</f>
      </c>
    </row>
    <row r="120" spans="1:20" x14ac:dyDescent="0.25">
      <c r="A120" s="28" t="s">
        <v>0</v>
      </c>
      <c r="B120" s="28" t="s">
        <v>0</v>
      </c>
      <c r="C120" s="28" t="s">
        <v>0</v>
      </c>
      <c r="D120" s="43">
        <f>IF(C120="","",IF(OR(C120="Squat",C120="Bench Press",C120="Overhead Press",C120="Light Squat"),"3x5",IF(C120="Deadlift","1x5",IF(C120="Power Clean","5x3","3x10"))))</f>
      </c>
      <c r="E120" s="43">
        <f>IF(C120="","",IF(NOT(OR(C120="Squat",C120="Bench Press",C120="Deadlift",C120="Overhead Press",C120="Power Clean",C120="Light Squat")),"—",IF(C120="Light Squat",IF(COUNTIF(C$10:C119,"Light Squat")=0,ROUND(SUMPRODUCT(MAX((C$10:C119="Squat")*(N$10:N119="OK")*(F$10:F119)))*Settings!$B$37/100/5,0)*5,IF(SUMPRODUCT((C$10:C119="Light Squat")*(N$10:N119="OK")*1)=0,ROUND(SUMPRODUCT(MAX((C$10:C119="Squat")*(N$10:N119="OK")*(F$10:F119)))*Settings!$B$37/100/5,0)*5,SUMPRODUCT(MAX((C$10:C119="Light Squat")*(N$10:N119="OK")*(F$10:F119)))+Settings!$B$38)),IF(SUMPRODUCT((C$10:C119=C120)*(N$10:N119="OK")*1)=0,IF(C120="Squat",Settings!$B$5,IF(C120="Bench Press",Settings!$B$6,IF(C120="Deadlift",Settings!$B$7,IF(C120="Overhead Press",Settings!$B$8,IF(C120="Power Clean",Settings!$B$9,0))))),SUMPRODUCT(MAX((C$10:C119=C120)*(N$10:N119="OK")*(F$10:F119)))+IF(C120="Squat",Settings!$B$12,IF(C120="Bench Press",Settings!$B$13,IF(C120="Deadlift",Settings!$B$14,IF(C120="Overhead Press",Settings!$B$15,IF(C120="Power Clean",Settings!$B$16,0)))))))))</f>
      </c>
      <c r="F120" s="28" t="s">
        <v>0</v>
      </c>
      <c r="G120" s="28" t="s">
        <v>0</v>
      </c>
      <c r="H120" s="28" t="s">
        <v>0</v>
      </c>
      <c r="I120" s="28" t="s">
        <v>0</v>
      </c>
      <c r="J120" s="44" t="s">
        <v>0</v>
      </c>
      <c r="K120" s="44" t="s">
        <v>0</v>
      </c>
      <c r="L120" s="43">
        <f>IF(C120="","",SUM(G120:K120))</f>
      </c>
      <c r="M120" s="43">
        <f>IF(C120="","",IF(NOT(OR(C120="Squat",C120="Bench Press",C120="Deadlift",C120="Overhead Press",C120="Power Clean",C120="Light Squat")),30,IF(OR(C120="Squat",C120="Bench Press",C120="Overhead Press",C120="Light Squat"),15,IF(C120="Deadlift",5,IF(C120="Power Clean",15,0)))))</f>
      </c>
      <c r="N120" s="43">
        <f>IF(C120="","",IF(NOT(OR(C120="Squat",C120="Bench Press",C120="Deadlift",C120="Overhead Press",C120="Power Clean",C120="Light Squat")),"—",IF(L120&gt;=M120,"OK","STALL")))</f>
      </c>
      <c r="O120" s="43" t="s">
        <v>0</v>
      </c>
      <c r="P120" s="43">
        <f>IF($C120="Squat",$F120,0)</f>
      </c>
      <c r="Q120" s="43">
        <f>IF($C120="Bench Press",$F120,0)</f>
      </c>
      <c r="R120" s="43">
        <f>IF($C120="Deadlift",$F120,0)</f>
      </c>
      <c r="S120" s="43">
        <f>IF($C120="Overhead Press",$F120,0)</f>
      </c>
      <c r="T120" s="43">
        <f>IF($C120="Power Clean",$F120,0)</f>
      </c>
    </row>
    <row r="121" spans="1:20" x14ac:dyDescent="0.25">
      <c r="A121" s="28" t="s">
        <v>0</v>
      </c>
      <c r="B121" s="28" t="s">
        <v>0</v>
      </c>
      <c r="C121" s="28" t="s">
        <v>0</v>
      </c>
      <c r="D121" s="43">
        <f>IF(C121="","",IF(OR(C121="Squat",C121="Bench Press",C121="Overhead Press",C121="Light Squat"),"3x5",IF(C121="Deadlift","1x5",IF(C121="Power Clean","5x3","3x10"))))</f>
      </c>
      <c r="E121" s="43">
        <f>IF(C121="","",IF(NOT(OR(C121="Squat",C121="Bench Press",C121="Deadlift",C121="Overhead Press",C121="Power Clean",C121="Light Squat")),"—",IF(C121="Light Squat",IF(COUNTIF(C$10:C120,"Light Squat")=0,ROUND(SUMPRODUCT(MAX((C$10:C120="Squat")*(N$10:N120="OK")*(F$10:F120)))*Settings!$B$37/100/5,0)*5,IF(SUMPRODUCT((C$10:C120="Light Squat")*(N$10:N120="OK")*1)=0,ROUND(SUMPRODUCT(MAX((C$10:C120="Squat")*(N$10:N120="OK")*(F$10:F120)))*Settings!$B$37/100/5,0)*5,SUMPRODUCT(MAX((C$10:C120="Light Squat")*(N$10:N120="OK")*(F$10:F120)))+Settings!$B$38)),IF(SUMPRODUCT((C$10:C120=C121)*(N$10:N120="OK")*1)=0,IF(C121="Squat",Settings!$B$5,IF(C121="Bench Press",Settings!$B$6,IF(C121="Deadlift",Settings!$B$7,IF(C121="Overhead Press",Settings!$B$8,IF(C121="Power Clean",Settings!$B$9,0))))),SUMPRODUCT(MAX((C$10:C120=C121)*(N$10:N120="OK")*(F$10:F120)))+IF(C121="Squat",Settings!$B$12,IF(C121="Bench Press",Settings!$B$13,IF(C121="Deadlift",Settings!$B$14,IF(C121="Overhead Press",Settings!$B$15,IF(C121="Power Clean",Settings!$B$16,0)))))))))</f>
      </c>
      <c r="F121" s="28" t="s">
        <v>0</v>
      </c>
      <c r="G121" s="28" t="s">
        <v>0</v>
      </c>
      <c r="H121" s="28" t="s">
        <v>0</v>
      </c>
      <c r="I121" s="28" t="s">
        <v>0</v>
      </c>
      <c r="J121" s="44" t="s">
        <v>0</v>
      </c>
      <c r="K121" s="44" t="s">
        <v>0</v>
      </c>
      <c r="L121" s="43">
        <f>IF(C121="","",SUM(G121:K121))</f>
      </c>
      <c r="M121" s="43">
        <f>IF(C121="","",IF(NOT(OR(C121="Squat",C121="Bench Press",C121="Deadlift",C121="Overhead Press",C121="Power Clean",C121="Light Squat")),30,IF(OR(C121="Squat",C121="Bench Press",C121="Overhead Press",C121="Light Squat"),15,IF(C121="Deadlift",5,IF(C121="Power Clean",15,0)))))</f>
      </c>
      <c r="N121" s="43">
        <f>IF(C121="","",IF(NOT(OR(C121="Squat",C121="Bench Press",C121="Deadlift",C121="Overhead Press",C121="Power Clean",C121="Light Squat")),"—",IF(L121&gt;=M121,"OK","STALL")))</f>
      </c>
      <c r="O121" s="43" t="s">
        <v>0</v>
      </c>
      <c r="P121" s="43">
        <f>IF($C121="Squat",$F121,0)</f>
      </c>
      <c r="Q121" s="43">
        <f>IF($C121="Bench Press",$F121,0)</f>
      </c>
      <c r="R121" s="43">
        <f>IF($C121="Deadlift",$F121,0)</f>
      </c>
      <c r="S121" s="43">
        <f>IF($C121="Overhead Press",$F121,0)</f>
      </c>
      <c r="T121" s="43">
        <f>IF($C121="Power Clean",$F121,0)</f>
      </c>
    </row>
    <row r="122" spans="1:20" x14ac:dyDescent="0.25">
      <c r="A122" s="28" t="s">
        <v>0</v>
      </c>
      <c r="B122" s="28" t="s">
        <v>0</v>
      </c>
      <c r="C122" s="28" t="s">
        <v>0</v>
      </c>
      <c r="D122" s="43">
        <f>IF(C122="","",IF(OR(C122="Squat",C122="Bench Press",C122="Overhead Press",C122="Light Squat"),"3x5",IF(C122="Deadlift","1x5",IF(C122="Power Clean","5x3","3x10"))))</f>
      </c>
      <c r="E122" s="43">
        <f>IF(C122="","",IF(NOT(OR(C122="Squat",C122="Bench Press",C122="Deadlift",C122="Overhead Press",C122="Power Clean",C122="Light Squat")),"—",IF(C122="Light Squat",IF(COUNTIF(C$10:C121,"Light Squat")=0,ROUND(SUMPRODUCT(MAX((C$10:C121="Squat")*(N$10:N121="OK")*(F$10:F121)))*Settings!$B$37/100/5,0)*5,IF(SUMPRODUCT((C$10:C121="Light Squat")*(N$10:N121="OK")*1)=0,ROUND(SUMPRODUCT(MAX((C$10:C121="Squat")*(N$10:N121="OK")*(F$10:F121)))*Settings!$B$37/100/5,0)*5,SUMPRODUCT(MAX((C$10:C121="Light Squat")*(N$10:N121="OK")*(F$10:F121)))+Settings!$B$38)),IF(SUMPRODUCT((C$10:C121=C122)*(N$10:N121="OK")*1)=0,IF(C122="Squat",Settings!$B$5,IF(C122="Bench Press",Settings!$B$6,IF(C122="Deadlift",Settings!$B$7,IF(C122="Overhead Press",Settings!$B$8,IF(C122="Power Clean",Settings!$B$9,0))))),SUMPRODUCT(MAX((C$10:C121=C122)*(N$10:N121="OK")*(F$10:F121)))+IF(C122="Squat",Settings!$B$12,IF(C122="Bench Press",Settings!$B$13,IF(C122="Deadlift",Settings!$B$14,IF(C122="Overhead Press",Settings!$B$15,IF(C122="Power Clean",Settings!$B$16,0)))))))))</f>
      </c>
      <c r="F122" s="28" t="s">
        <v>0</v>
      </c>
      <c r="G122" s="28" t="s">
        <v>0</v>
      </c>
      <c r="H122" s="28" t="s">
        <v>0</v>
      </c>
      <c r="I122" s="28" t="s">
        <v>0</v>
      </c>
      <c r="J122" s="44" t="s">
        <v>0</v>
      </c>
      <c r="K122" s="44" t="s">
        <v>0</v>
      </c>
      <c r="L122" s="43">
        <f>IF(C122="","",SUM(G122:K122))</f>
      </c>
      <c r="M122" s="43">
        <f>IF(C122="","",IF(NOT(OR(C122="Squat",C122="Bench Press",C122="Deadlift",C122="Overhead Press",C122="Power Clean",C122="Light Squat")),30,IF(OR(C122="Squat",C122="Bench Press",C122="Overhead Press",C122="Light Squat"),15,IF(C122="Deadlift",5,IF(C122="Power Clean",15,0)))))</f>
      </c>
      <c r="N122" s="43">
        <f>IF(C122="","",IF(NOT(OR(C122="Squat",C122="Bench Press",C122="Deadlift",C122="Overhead Press",C122="Power Clean",C122="Light Squat")),"—",IF(L122&gt;=M122,"OK","STALL")))</f>
      </c>
      <c r="O122" s="43" t="s">
        <v>0</v>
      </c>
      <c r="P122" s="43">
        <f>IF($C122="Squat",$F122,0)</f>
      </c>
      <c r="Q122" s="43">
        <f>IF($C122="Bench Press",$F122,0)</f>
      </c>
      <c r="R122" s="43">
        <f>IF($C122="Deadlift",$F122,0)</f>
      </c>
      <c r="S122" s="43">
        <f>IF($C122="Overhead Press",$F122,0)</f>
      </c>
      <c r="T122" s="43">
        <f>IF($C122="Power Clean",$F122,0)</f>
      </c>
    </row>
    <row r="123" spans="1:20" x14ac:dyDescent="0.25">
      <c r="A123" s="28" t="s">
        <v>0</v>
      </c>
      <c r="B123" s="28" t="s">
        <v>0</v>
      </c>
      <c r="C123" s="28" t="s">
        <v>0</v>
      </c>
      <c r="D123" s="43">
        <f>IF(C123="","",IF(OR(C123="Squat",C123="Bench Press",C123="Overhead Press",C123="Light Squat"),"3x5",IF(C123="Deadlift","1x5",IF(C123="Power Clean","5x3","3x10"))))</f>
      </c>
      <c r="E123" s="43">
        <f>IF(C123="","",IF(NOT(OR(C123="Squat",C123="Bench Press",C123="Deadlift",C123="Overhead Press",C123="Power Clean",C123="Light Squat")),"—",IF(C123="Light Squat",IF(COUNTIF(C$10:C122,"Light Squat")=0,ROUND(SUMPRODUCT(MAX((C$10:C122="Squat")*(N$10:N122="OK")*(F$10:F122)))*Settings!$B$37/100/5,0)*5,IF(SUMPRODUCT((C$10:C122="Light Squat")*(N$10:N122="OK")*1)=0,ROUND(SUMPRODUCT(MAX((C$10:C122="Squat")*(N$10:N122="OK")*(F$10:F122)))*Settings!$B$37/100/5,0)*5,SUMPRODUCT(MAX((C$10:C122="Light Squat")*(N$10:N122="OK")*(F$10:F122)))+Settings!$B$38)),IF(SUMPRODUCT((C$10:C122=C123)*(N$10:N122="OK")*1)=0,IF(C123="Squat",Settings!$B$5,IF(C123="Bench Press",Settings!$B$6,IF(C123="Deadlift",Settings!$B$7,IF(C123="Overhead Press",Settings!$B$8,IF(C123="Power Clean",Settings!$B$9,0))))),SUMPRODUCT(MAX((C$10:C122=C123)*(N$10:N122="OK")*(F$10:F122)))+IF(C123="Squat",Settings!$B$12,IF(C123="Bench Press",Settings!$B$13,IF(C123="Deadlift",Settings!$B$14,IF(C123="Overhead Press",Settings!$B$15,IF(C123="Power Clean",Settings!$B$16,0)))))))))</f>
      </c>
      <c r="F123" s="28" t="s">
        <v>0</v>
      </c>
      <c r="G123" s="28" t="s">
        <v>0</v>
      </c>
      <c r="H123" s="28" t="s">
        <v>0</v>
      </c>
      <c r="I123" s="28" t="s">
        <v>0</v>
      </c>
      <c r="J123" s="44" t="s">
        <v>0</v>
      </c>
      <c r="K123" s="44" t="s">
        <v>0</v>
      </c>
      <c r="L123" s="43">
        <f>IF(C123="","",SUM(G123:K123))</f>
      </c>
      <c r="M123" s="43">
        <f>IF(C123="","",IF(NOT(OR(C123="Squat",C123="Bench Press",C123="Deadlift",C123="Overhead Press",C123="Power Clean",C123="Light Squat")),30,IF(OR(C123="Squat",C123="Bench Press",C123="Overhead Press",C123="Light Squat"),15,IF(C123="Deadlift",5,IF(C123="Power Clean",15,0)))))</f>
      </c>
      <c r="N123" s="43">
        <f>IF(C123="","",IF(NOT(OR(C123="Squat",C123="Bench Press",C123="Deadlift",C123="Overhead Press",C123="Power Clean",C123="Light Squat")),"—",IF(L123&gt;=M123,"OK","STALL")))</f>
      </c>
      <c r="O123" s="43" t="s">
        <v>0</v>
      </c>
      <c r="P123" s="43">
        <f>IF($C123="Squat",$F123,0)</f>
      </c>
      <c r="Q123" s="43">
        <f>IF($C123="Bench Press",$F123,0)</f>
      </c>
      <c r="R123" s="43">
        <f>IF($C123="Deadlift",$F123,0)</f>
      </c>
      <c r="S123" s="43">
        <f>IF($C123="Overhead Press",$F123,0)</f>
      </c>
      <c r="T123" s="43">
        <f>IF($C123="Power Clean",$F123,0)</f>
      </c>
    </row>
    <row r="124" spans="1:20" x14ac:dyDescent="0.25">
      <c r="A124" s="28" t="s">
        <v>0</v>
      </c>
      <c r="B124" s="28" t="s">
        <v>0</v>
      </c>
      <c r="C124" s="28" t="s">
        <v>0</v>
      </c>
      <c r="D124" s="43">
        <f>IF(C124="","",IF(OR(C124="Squat",C124="Bench Press",C124="Overhead Press",C124="Light Squat"),"3x5",IF(C124="Deadlift","1x5",IF(C124="Power Clean","5x3","3x10"))))</f>
      </c>
      <c r="E124" s="43">
        <f>IF(C124="","",IF(NOT(OR(C124="Squat",C124="Bench Press",C124="Deadlift",C124="Overhead Press",C124="Power Clean",C124="Light Squat")),"—",IF(C124="Light Squat",IF(COUNTIF(C$10:C123,"Light Squat")=0,ROUND(SUMPRODUCT(MAX((C$10:C123="Squat")*(N$10:N123="OK")*(F$10:F123)))*Settings!$B$37/100/5,0)*5,IF(SUMPRODUCT((C$10:C123="Light Squat")*(N$10:N123="OK")*1)=0,ROUND(SUMPRODUCT(MAX((C$10:C123="Squat")*(N$10:N123="OK")*(F$10:F123)))*Settings!$B$37/100/5,0)*5,SUMPRODUCT(MAX((C$10:C123="Light Squat")*(N$10:N123="OK")*(F$10:F123)))+Settings!$B$38)),IF(SUMPRODUCT((C$10:C123=C124)*(N$10:N123="OK")*1)=0,IF(C124="Squat",Settings!$B$5,IF(C124="Bench Press",Settings!$B$6,IF(C124="Deadlift",Settings!$B$7,IF(C124="Overhead Press",Settings!$B$8,IF(C124="Power Clean",Settings!$B$9,0))))),SUMPRODUCT(MAX((C$10:C123=C124)*(N$10:N123="OK")*(F$10:F123)))+IF(C124="Squat",Settings!$B$12,IF(C124="Bench Press",Settings!$B$13,IF(C124="Deadlift",Settings!$B$14,IF(C124="Overhead Press",Settings!$B$15,IF(C124="Power Clean",Settings!$B$16,0)))))))))</f>
      </c>
      <c r="F124" s="28" t="s">
        <v>0</v>
      </c>
      <c r="G124" s="28" t="s">
        <v>0</v>
      </c>
      <c r="H124" s="28" t="s">
        <v>0</v>
      </c>
      <c r="I124" s="28" t="s">
        <v>0</v>
      </c>
      <c r="J124" s="44" t="s">
        <v>0</v>
      </c>
      <c r="K124" s="44" t="s">
        <v>0</v>
      </c>
      <c r="L124" s="43">
        <f>IF(C124="","",SUM(G124:K124))</f>
      </c>
      <c r="M124" s="43">
        <f>IF(C124="","",IF(NOT(OR(C124="Squat",C124="Bench Press",C124="Deadlift",C124="Overhead Press",C124="Power Clean",C124="Light Squat")),30,IF(OR(C124="Squat",C124="Bench Press",C124="Overhead Press",C124="Light Squat"),15,IF(C124="Deadlift",5,IF(C124="Power Clean",15,0)))))</f>
      </c>
      <c r="N124" s="43">
        <f>IF(C124="","",IF(NOT(OR(C124="Squat",C124="Bench Press",C124="Deadlift",C124="Overhead Press",C124="Power Clean",C124="Light Squat")),"—",IF(L124&gt;=M124,"OK","STALL")))</f>
      </c>
      <c r="O124" s="43" t="s">
        <v>0</v>
      </c>
      <c r="P124" s="43">
        <f>IF($C124="Squat",$F124,0)</f>
      </c>
      <c r="Q124" s="43">
        <f>IF($C124="Bench Press",$F124,0)</f>
      </c>
      <c r="R124" s="43">
        <f>IF($C124="Deadlift",$F124,0)</f>
      </c>
      <c r="S124" s="43">
        <f>IF($C124="Overhead Press",$F124,0)</f>
      </c>
      <c r="T124" s="43">
        <f>IF($C124="Power Clean",$F124,0)</f>
      </c>
    </row>
    <row r="125" spans="1:20" x14ac:dyDescent="0.25">
      <c r="A125" s="28" t="s">
        <v>0</v>
      </c>
      <c r="B125" s="28" t="s">
        <v>0</v>
      </c>
      <c r="C125" s="28" t="s">
        <v>0</v>
      </c>
      <c r="D125" s="43">
        <f>IF(C125="","",IF(OR(C125="Squat",C125="Bench Press",C125="Overhead Press",C125="Light Squat"),"3x5",IF(C125="Deadlift","1x5",IF(C125="Power Clean","5x3","3x10"))))</f>
      </c>
      <c r="E125" s="43">
        <f>IF(C125="","",IF(NOT(OR(C125="Squat",C125="Bench Press",C125="Deadlift",C125="Overhead Press",C125="Power Clean",C125="Light Squat")),"—",IF(C125="Light Squat",IF(COUNTIF(C$10:C124,"Light Squat")=0,ROUND(SUMPRODUCT(MAX((C$10:C124="Squat")*(N$10:N124="OK")*(F$10:F124)))*Settings!$B$37/100/5,0)*5,IF(SUMPRODUCT((C$10:C124="Light Squat")*(N$10:N124="OK")*1)=0,ROUND(SUMPRODUCT(MAX((C$10:C124="Squat")*(N$10:N124="OK")*(F$10:F124)))*Settings!$B$37/100/5,0)*5,SUMPRODUCT(MAX((C$10:C124="Light Squat")*(N$10:N124="OK")*(F$10:F124)))+Settings!$B$38)),IF(SUMPRODUCT((C$10:C124=C125)*(N$10:N124="OK")*1)=0,IF(C125="Squat",Settings!$B$5,IF(C125="Bench Press",Settings!$B$6,IF(C125="Deadlift",Settings!$B$7,IF(C125="Overhead Press",Settings!$B$8,IF(C125="Power Clean",Settings!$B$9,0))))),SUMPRODUCT(MAX((C$10:C124=C125)*(N$10:N124="OK")*(F$10:F124)))+IF(C125="Squat",Settings!$B$12,IF(C125="Bench Press",Settings!$B$13,IF(C125="Deadlift",Settings!$B$14,IF(C125="Overhead Press",Settings!$B$15,IF(C125="Power Clean",Settings!$B$16,0)))))))))</f>
      </c>
      <c r="F125" s="28" t="s">
        <v>0</v>
      </c>
      <c r="G125" s="28" t="s">
        <v>0</v>
      </c>
      <c r="H125" s="28" t="s">
        <v>0</v>
      </c>
      <c r="I125" s="28" t="s">
        <v>0</v>
      </c>
      <c r="J125" s="44" t="s">
        <v>0</v>
      </c>
      <c r="K125" s="44" t="s">
        <v>0</v>
      </c>
      <c r="L125" s="43">
        <f>IF(C125="","",SUM(G125:K125))</f>
      </c>
      <c r="M125" s="43">
        <f>IF(C125="","",IF(NOT(OR(C125="Squat",C125="Bench Press",C125="Deadlift",C125="Overhead Press",C125="Power Clean",C125="Light Squat")),30,IF(OR(C125="Squat",C125="Bench Press",C125="Overhead Press",C125="Light Squat"),15,IF(C125="Deadlift",5,IF(C125="Power Clean",15,0)))))</f>
      </c>
      <c r="N125" s="43">
        <f>IF(C125="","",IF(NOT(OR(C125="Squat",C125="Bench Press",C125="Deadlift",C125="Overhead Press",C125="Power Clean",C125="Light Squat")),"—",IF(L125&gt;=M125,"OK","STALL")))</f>
      </c>
      <c r="O125" s="43" t="s">
        <v>0</v>
      </c>
      <c r="P125" s="43">
        <f>IF($C125="Squat",$F125,0)</f>
      </c>
      <c r="Q125" s="43">
        <f>IF($C125="Bench Press",$F125,0)</f>
      </c>
      <c r="R125" s="43">
        <f>IF($C125="Deadlift",$F125,0)</f>
      </c>
      <c r="S125" s="43">
        <f>IF($C125="Overhead Press",$F125,0)</f>
      </c>
      <c r="T125" s="43">
        <f>IF($C125="Power Clean",$F125,0)</f>
      </c>
    </row>
    <row r="126" spans="1:20" x14ac:dyDescent="0.25">
      <c r="A126" s="28" t="s">
        <v>0</v>
      </c>
      <c r="B126" s="28" t="s">
        <v>0</v>
      </c>
      <c r="C126" s="28" t="s">
        <v>0</v>
      </c>
      <c r="D126" s="43">
        <f>IF(C126="","",IF(OR(C126="Squat",C126="Bench Press",C126="Overhead Press",C126="Light Squat"),"3x5",IF(C126="Deadlift","1x5",IF(C126="Power Clean","5x3","3x10"))))</f>
      </c>
      <c r="E126" s="43">
        <f>IF(C126="","",IF(NOT(OR(C126="Squat",C126="Bench Press",C126="Deadlift",C126="Overhead Press",C126="Power Clean",C126="Light Squat")),"—",IF(C126="Light Squat",IF(COUNTIF(C$10:C125,"Light Squat")=0,ROUND(SUMPRODUCT(MAX((C$10:C125="Squat")*(N$10:N125="OK")*(F$10:F125)))*Settings!$B$37/100/5,0)*5,IF(SUMPRODUCT((C$10:C125="Light Squat")*(N$10:N125="OK")*1)=0,ROUND(SUMPRODUCT(MAX((C$10:C125="Squat")*(N$10:N125="OK")*(F$10:F125)))*Settings!$B$37/100/5,0)*5,SUMPRODUCT(MAX((C$10:C125="Light Squat")*(N$10:N125="OK")*(F$10:F125)))+Settings!$B$38)),IF(SUMPRODUCT((C$10:C125=C126)*(N$10:N125="OK")*1)=0,IF(C126="Squat",Settings!$B$5,IF(C126="Bench Press",Settings!$B$6,IF(C126="Deadlift",Settings!$B$7,IF(C126="Overhead Press",Settings!$B$8,IF(C126="Power Clean",Settings!$B$9,0))))),SUMPRODUCT(MAX((C$10:C125=C126)*(N$10:N125="OK")*(F$10:F125)))+IF(C126="Squat",Settings!$B$12,IF(C126="Bench Press",Settings!$B$13,IF(C126="Deadlift",Settings!$B$14,IF(C126="Overhead Press",Settings!$B$15,IF(C126="Power Clean",Settings!$B$16,0)))))))))</f>
      </c>
      <c r="F126" s="28" t="s">
        <v>0</v>
      </c>
      <c r="G126" s="28" t="s">
        <v>0</v>
      </c>
      <c r="H126" s="28" t="s">
        <v>0</v>
      </c>
      <c r="I126" s="28" t="s">
        <v>0</v>
      </c>
      <c r="J126" s="44" t="s">
        <v>0</v>
      </c>
      <c r="K126" s="44" t="s">
        <v>0</v>
      </c>
      <c r="L126" s="43">
        <f>IF(C126="","",SUM(G126:K126))</f>
      </c>
      <c r="M126" s="43">
        <f>IF(C126="","",IF(NOT(OR(C126="Squat",C126="Bench Press",C126="Deadlift",C126="Overhead Press",C126="Power Clean",C126="Light Squat")),30,IF(OR(C126="Squat",C126="Bench Press",C126="Overhead Press",C126="Light Squat"),15,IF(C126="Deadlift",5,IF(C126="Power Clean",15,0)))))</f>
      </c>
      <c r="N126" s="43">
        <f>IF(C126="","",IF(NOT(OR(C126="Squat",C126="Bench Press",C126="Deadlift",C126="Overhead Press",C126="Power Clean",C126="Light Squat")),"—",IF(L126&gt;=M126,"OK","STALL")))</f>
      </c>
      <c r="O126" s="43" t="s">
        <v>0</v>
      </c>
      <c r="P126" s="43">
        <f>IF($C126="Squat",$F126,0)</f>
      </c>
      <c r="Q126" s="43">
        <f>IF($C126="Bench Press",$F126,0)</f>
      </c>
      <c r="R126" s="43">
        <f>IF($C126="Deadlift",$F126,0)</f>
      </c>
      <c r="S126" s="43">
        <f>IF($C126="Overhead Press",$F126,0)</f>
      </c>
      <c r="T126" s="43">
        <f>IF($C126="Power Clean",$F126,0)</f>
      </c>
    </row>
    <row r="127" spans="1:20" x14ac:dyDescent="0.25">
      <c r="A127" s="28" t="s">
        <v>0</v>
      </c>
      <c r="B127" s="28" t="s">
        <v>0</v>
      </c>
      <c r="C127" s="28" t="s">
        <v>0</v>
      </c>
      <c r="D127" s="43">
        <f>IF(C127="","",IF(OR(C127="Squat",C127="Bench Press",C127="Overhead Press",C127="Light Squat"),"3x5",IF(C127="Deadlift","1x5",IF(C127="Power Clean","5x3","3x10"))))</f>
      </c>
      <c r="E127" s="43">
        <f>IF(C127="","",IF(NOT(OR(C127="Squat",C127="Bench Press",C127="Deadlift",C127="Overhead Press",C127="Power Clean",C127="Light Squat")),"—",IF(C127="Light Squat",IF(COUNTIF(C$10:C126,"Light Squat")=0,ROUND(SUMPRODUCT(MAX((C$10:C126="Squat")*(N$10:N126="OK")*(F$10:F126)))*Settings!$B$37/100/5,0)*5,IF(SUMPRODUCT((C$10:C126="Light Squat")*(N$10:N126="OK")*1)=0,ROUND(SUMPRODUCT(MAX((C$10:C126="Squat")*(N$10:N126="OK")*(F$10:F126)))*Settings!$B$37/100/5,0)*5,SUMPRODUCT(MAX((C$10:C126="Light Squat")*(N$10:N126="OK")*(F$10:F126)))+Settings!$B$38)),IF(SUMPRODUCT((C$10:C126=C127)*(N$10:N126="OK")*1)=0,IF(C127="Squat",Settings!$B$5,IF(C127="Bench Press",Settings!$B$6,IF(C127="Deadlift",Settings!$B$7,IF(C127="Overhead Press",Settings!$B$8,IF(C127="Power Clean",Settings!$B$9,0))))),SUMPRODUCT(MAX((C$10:C126=C127)*(N$10:N126="OK")*(F$10:F126)))+IF(C127="Squat",Settings!$B$12,IF(C127="Bench Press",Settings!$B$13,IF(C127="Deadlift",Settings!$B$14,IF(C127="Overhead Press",Settings!$B$15,IF(C127="Power Clean",Settings!$B$16,0)))))))))</f>
      </c>
      <c r="F127" s="28" t="s">
        <v>0</v>
      </c>
      <c r="G127" s="28" t="s">
        <v>0</v>
      </c>
      <c r="H127" s="28" t="s">
        <v>0</v>
      </c>
      <c r="I127" s="28" t="s">
        <v>0</v>
      </c>
      <c r="J127" s="44" t="s">
        <v>0</v>
      </c>
      <c r="K127" s="44" t="s">
        <v>0</v>
      </c>
      <c r="L127" s="43">
        <f>IF(C127="","",SUM(G127:K127))</f>
      </c>
      <c r="M127" s="43">
        <f>IF(C127="","",IF(NOT(OR(C127="Squat",C127="Bench Press",C127="Deadlift",C127="Overhead Press",C127="Power Clean",C127="Light Squat")),30,IF(OR(C127="Squat",C127="Bench Press",C127="Overhead Press",C127="Light Squat"),15,IF(C127="Deadlift",5,IF(C127="Power Clean",15,0)))))</f>
      </c>
      <c r="N127" s="43">
        <f>IF(C127="","",IF(NOT(OR(C127="Squat",C127="Bench Press",C127="Deadlift",C127="Overhead Press",C127="Power Clean",C127="Light Squat")),"—",IF(L127&gt;=M127,"OK","STALL")))</f>
      </c>
      <c r="O127" s="43" t="s">
        <v>0</v>
      </c>
      <c r="P127" s="43">
        <f>IF($C127="Squat",$F127,0)</f>
      </c>
      <c r="Q127" s="43">
        <f>IF($C127="Bench Press",$F127,0)</f>
      </c>
      <c r="R127" s="43">
        <f>IF($C127="Deadlift",$F127,0)</f>
      </c>
      <c r="S127" s="43">
        <f>IF($C127="Overhead Press",$F127,0)</f>
      </c>
      <c r="T127" s="43">
        <f>IF($C127="Power Clean",$F127,0)</f>
      </c>
    </row>
    <row r="128" spans="1:20" x14ac:dyDescent="0.25">
      <c r="A128" s="28" t="s">
        <v>0</v>
      </c>
      <c r="B128" s="28" t="s">
        <v>0</v>
      </c>
      <c r="C128" s="28" t="s">
        <v>0</v>
      </c>
      <c r="D128" s="43">
        <f>IF(C128="","",IF(OR(C128="Squat",C128="Bench Press",C128="Overhead Press",C128="Light Squat"),"3x5",IF(C128="Deadlift","1x5",IF(C128="Power Clean","5x3","3x10"))))</f>
      </c>
      <c r="E128" s="43">
        <f>IF(C128="","",IF(NOT(OR(C128="Squat",C128="Bench Press",C128="Deadlift",C128="Overhead Press",C128="Power Clean",C128="Light Squat")),"—",IF(C128="Light Squat",IF(COUNTIF(C$10:C127,"Light Squat")=0,ROUND(SUMPRODUCT(MAX((C$10:C127="Squat")*(N$10:N127="OK")*(F$10:F127)))*Settings!$B$37/100/5,0)*5,IF(SUMPRODUCT((C$10:C127="Light Squat")*(N$10:N127="OK")*1)=0,ROUND(SUMPRODUCT(MAX((C$10:C127="Squat")*(N$10:N127="OK")*(F$10:F127)))*Settings!$B$37/100/5,0)*5,SUMPRODUCT(MAX((C$10:C127="Light Squat")*(N$10:N127="OK")*(F$10:F127)))+Settings!$B$38)),IF(SUMPRODUCT((C$10:C127=C128)*(N$10:N127="OK")*1)=0,IF(C128="Squat",Settings!$B$5,IF(C128="Bench Press",Settings!$B$6,IF(C128="Deadlift",Settings!$B$7,IF(C128="Overhead Press",Settings!$B$8,IF(C128="Power Clean",Settings!$B$9,0))))),SUMPRODUCT(MAX((C$10:C127=C128)*(N$10:N127="OK")*(F$10:F127)))+IF(C128="Squat",Settings!$B$12,IF(C128="Bench Press",Settings!$B$13,IF(C128="Deadlift",Settings!$B$14,IF(C128="Overhead Press",Settings!$B$15,IF(C128="Power Clean",Settings!$B$16,0)))))))))</f>
      </c>
      <c r="F128" s="28" t="s">
        <v>0</v>
      </c>
      <c r="G128" s="28" t="s">
        <v>0</v>
      </c>
      <c r="H128" s="28" t="s">
        <v>0</v>
      </c>
      <c r="I128" s="28" t="s">
        <v>0</v>
      </c>
      <c r="J128" s="44" t="s">
        <v>0</v>
      </c>
      <c r="K128" s="44" t="s">
        <v>0</v>
      </c>
      <c r="L128" s="43">
        <f>IF(C128="","",SUM(G128:K128))</f>
      </c>
      <c r="M128" s="43">
        <f>IF(C128="","",IF(NOT(OR(C128="Squat",C128="Bench Press",C128="Deadlift",C128="Overhead Press",C128="Power Clean",C128="Light Squat")),30,IF(OR(C128="Squat",C128="Bench Press",C128="Overhead Press",C128="Light Squat"),15,IF(C128="Deadlift",5,IF(C128="Power Clean",15,0)))))</f>
      </c>
      <c r="N128" s="43">
        <f>IF(C128="","",IF(NOT(OR(C128="Squat",C128="Bench Press",C128="Deadlift",C128="Overhead Press",C128="Power Clean",C128="Light Squat")),"—",IF(L128&gt;=M128,"OK","STALL")))</f>
      </c>
      <c r="O128" s="43" t="s">
        <v>0</v>
      </c>
      <c r="P128" s="43">
        <f>IF($C128="Squat",$F128,0)</f>
      </c>
      <c r="Q128" s="43">
        <f>IF($C128="Bench Press",$F128,0)</f>
      </c>
      <c r="R128" s="43">
        <f>IF($C128="Deadlift",$F128,0)</f>
      </c>
      <c r="S128" s="43">
        <f>IF($C128="Overhead Press",$F128,0)</f>
      </c>
      <c r="T128" s="43">
        <f>IF($C128="Power Clean",$F128,0)</f>
      </c>
    </row>
    <row r="129" spans="1:20" x14ac:dyDescent="0.25">
      <c r="A129" s="28" t="s">
        <v>0</v>
      </c>
      <c r="B129" s="28" t="s">
        <v>0</v>
      </c>
      <c r="C129" s="28" t="s">
        <v>0</v>
      </c>
      <c r="D129" s="43">
        <f>IF(C129="","",IF(OR(C129="Squat",C129="Bench Press",C129="Overhead Press",C129="Light Squat"),"3x5",IF(C129="Deadlift","1x5",IF(C129="Power Clean","5x3","3x10"))))</f>
      </c>
      <c r="E129" s="43">
        <f>IF(C129="","",IF(NOT(OR(C129="Squat",C129="Bench Press",C129="Deadlift",C129="Overhead Press",C129="Power Clean",C129="Light Squat")),"—",IF(C129="Light Squat",IF(COUNTIF(C$10:C128,"Light Squat")=0,ROUND(SUMPRODUCT(MAX((C$10:C128="Squat")*(N$10:N128="OK")*(F$10:F128)))*Settings!$B$37/100/5,0)*5,IF(SUMPRODUCT((C$10:C128="Light Squat")*(N$10:N128="OK")*1)=0,ROUND(SUMPRODUCT(MAX((C$10:C128="Squat")*(N$10:N128="OK")*(F$10:F128)))*Settings!$B$37/100/5,0)*5,SUMPRODUCT(MAX((C$10:C128="Light Squat")*(N$10:N128="OK")*(F$10:F128)))+Settings!$B$38)),IF(SUMPRODUCT((C$10:C128=C129)*(N$10:N128="OK")*1)=0,IF(C129="Squat",Settings!$B$5,IF(C129="Bench Press",Settings!$B$6,IF(C129="Deadlift",Settings!$B$7,IF(C129="Overhead Press",Settings!$B$8,IF(C129="Power Clean",Settings!$B$9,0))))),SUMPRODUCT(MAX((C$10:C128=C129)*(N$10:N128="OK")*(F$10:F128)))+IF(C129="Squat",Settings!$B$12,IF(C129="Bench Press",Settings!$B$13,IF(C129="Deadlift",Settings!$B$14,IF(C129="Overhead Press",Settings!$B$15,IF(C129="Power Clean",Settings!$B$16,0)))))))))</f>
      </c>
      <c r="F129" s="28" t="s">
        <v>0</v>
      </c>
      <c r="G129" s="28" t="s">
        <v>0</v>
      </c>
      <c r="H129" s="28" t="s">
        <v>0</v>
      </c>
      <c r="I129" s="28" t="s">
        <v>0</v>
      </c>
      <c r="J129" s="44" t="s">
        <v>0</v>
      </c>
      <c r="K129" s="44" t="s">
        <v>0</v>
      </c>
      <c r="L129" s="43">
        <f>IF(C129="","",SUM(G129:K129))</f>
      </c>
      <c r="M129" s="43">
        <f>IF(C129="","",IF(NOT(OR(C129="Squat",C129="Bench Press",C129="Deadlift",C129="Overhead Press",C129="Power Clean",C129="Light Squat")),30,IF(OR(C129="Squat",C129="Bench Press",C129="Overhead Press",C129="Light Squat"),15,IF(C129="Deadlift",5,IF(C129="Power Clean",15,0)))))</f>
      </c>
      <c r="N129" s="43">
        <f>IF(C129="","",IF(NOT(OR(C129="Squat",C129="Bench Press",C129="Deadlift",C129="Overhead Press",C129="Power Clean",C129="Light Squat")),"—",IF(L129&gt;=M129,"OK","STALL")))</f>
      </c>
      <c r="O129" s="43" t="s">
        <v>0</v>
      </c>
      <c r="P129" s="43">
        <f>IF($C129="Squat",$F129,0)</f>
      </c>
      <c r="Q129" s="43">
        <f>IF($C129="Bench Press",$F129,0)</f>
      </c>
      <c r="R129" s="43">
        <f>IF($C129="Deadlift",$F129,0)</f>
      </c>
      <c r="S129" s="43">
        <f>IF($C129="Overhead Press",$F129,0)</f>
      </c>
      <c r="T129" s="43">
        <f>IF($C129="Power Clean",$F129,0)</f>
      </c>
    </row>
    <row r="130" spans="1:20" x14ac:dyDescent="0.25">
      <c r="A130" s="28" t="s">
        <v>0</v>
      </c>
      <c r="B130" s="28" t="s">
        <v>0</v>
      </c>
      <c r="C130" s="28" t="s">
        <v>0</v>
      </c>
      <c r="D130" s="43">
        <f>IF(C130="","",IF(OR(C130="Squat",C130="Bench Press",C130="Overhead Press",C130="Light Squat"),"3x5",IF(C130="Deadlift","1x5",IF(C130="Power Clean","5x3","3x10"))))</f>
      </c>
      <c r="E130" s="43">
        <f>IF(C130="","",IF(NOT(OR(C130="Squat",C130="Bench Press",C130="Deadlift",C130="Overhead Press",C130="Power Clean",C130="Light Squat")),"—",IF(C130="Light Squat",IF(COUNTIF(C$10:C129,"Light Squat")=0,ROUND(SUMPRODUCT(MAX((C$10:C129="Squat")*(N$10:N129="OK")*(F$10:F129)))*Settings!$B$37/100/5,0)*5,IF(SUMPRODUCT((C$10:C129="Light Squat")*(N$10:N129="OK")*1)=0,ROUND(SUMPRODUCT(MAX((C$10:C129="Squat")*(N$10:N129="OK")*(F$10:F129)))*Settings!$B$37/100/5,0)*5,SUMPRODUCT(MAX((C$10:C129="Light Squat")*(N$10:N129="OK")*(F$10:F129)))+Settings!$B$38)),IF(SUMPRODUCT((C$10:C129=C130)*(N$10:N129="OK")*1)=0,IF(C130="Squat",Settings!$B$5,IF(C130="Bench Press",Settings!$B$6,IF(C130="Deadlift",Settings!$B$7,IF(C130="Overhead Press",Settings!$B$8,IF(C130="Power Clean",Settings!$B$9,0))))),SUMPRODUCT(MAX((C$10:C129=C130)*(N$10:N129="OK")*(F$10:F129)))+IF(C130="Squat",Settings!$B$12,IF(C130="Bench Press",Settings!$B$13,IF(C130="Deadlift",Settings!$B$14,IF(C130="Overhead Press",Settings!$B$15,IF(C130="Power Clean",Settings!$B$16,0)))))))))</f>
      </c>
      <c r="F130" s="28" t="s">
        <v>0</v>
      </c>
      <c r="G130" s="28" t="s">
        <v>0</v>
      </c>
      <c r="H130" s="28" t="s">
        <v>0</v>
      </c>
      <c r="I130" s="28" t="s">
        <v>0</v>
      </c>
      <c r="J130" s="44" t="s">
        <v>0</v>
      </c>
      <c r="K130" s="44" t="s">
        <v>0</v>
      </c>
      <c r="L130" s="43">
        <f>IF(C130="","",SUM(G130:K130))</f>
      </c>
      <c r="M130" s="43">
        <f>IF(C130="","",IF(NOT(OR(C130="Squat",C130="Bench Press",C130="Deadlift",C130="Overhead Press",C130="Power Clean",C130="Light Squat")),30,IF(OR(C130="Squat",C130="Bench Press",C130="Overhead Press",C130="Light Squat"),15,IF(C130="Deadlift",5,IF(C130="Power Clean",15,0)))))</f>
      </c>
      <c r="N130" s="43">
        <f>IF(C130="","",IF(NOT(OR(C130="Squat",C130="Bench Press",C130="Deadlift",C130="Overhead Press",C130="Power Clean",C130="Light Squat")),"—",IF(L130&gt;=M130,"OK","STALL")))</f>
      </c>
      <c r="O130" s="43" t="s">
        <v>0</v>
      </c>
      <c r="P130" s="43">
        <f>IF($C130="Squat",$F130,0)</f>
      </c>
      <c r="Q130" s="43">
        <f>IF($C130="Bench Press",$F130,0)</f>
      </c>
      <c r="R130" s="43">
        <f>IF($C130="Deadlift",$F130,0)</f>
      </c>
      <c r="S130" s="43">
        <f>IF($C130="Overhead Press",$F130,0)</f>
      </c>
      <c r="T130" s="43">
        <f>IF($C130="Power Clean",$F130,0)</f>
      </c>
    </row>
    <row r="131" spans="1:20" x14ac:dyDescent="0.25">
      <c r="A131" s="28" t="s">
        <v>0</v>
      </c>
      <c r="B131" s="28" t="s">
        <v>0</v>
      </c>
      <c r="C131" s="28" t="s">
        <v>0</v>
      </c>
      <c r="D131" s="43">
        <f>IF(C131="","",IF(OR(C131="Squat",C131="Bench Press",C131="Overhead Press",C131="Light Squat"),"3x5",IF(C131="Deadlift","1x5",IF(C131="Power Clean","5x3","3x10"))))</f>
      </c>
      <c r="E131" s="43">
        <f>IF(C131="","",IF(NOT(OR(C131="Squat",C131="Bench Press",C131="Deadlift",C131="Overhead Press",C131="Power Clean",C131="Light Squat")),"—",IF(C131="Light Squat",IF(COUNTIF(C$10:C130,"Light Squat")=0,ROUND(SUMPRODUCT(MAX((C$10:C130="Squat")*(N$10:N130="OK")*(F$10:F130)))*Settings!$B$37/100/5,0)*5,IF(SUMPRODUCT((C$10:C130="Light Squat")*(N$10:N130="OK")*1)=0,ROUND(SUMPRODUCT(MAX((C$10:C130="Squat")*(N$10:N130="OK")*(F$10:F130)))*Settings!$B$37/100/5,0)*5,SUMPRODUCT(MAX((C$10:C130="Light Squat")*(N$10:N130="OK")*(F$10:F130)))+Settings!$B$38)),IF(SUMPRODUCT((C$10:C130=C131)*(N$10:N130="OK")*1)=0,IF(C131="Squat",Settings!$B$5,IF(C131="Bench Press",Settings!$B$6,IF(C131="Deadlift",Settings!$B$7,IF(C131="Overhead Press",Settings!$B$8,IF(C131="Power Clean",Settings!$B$9,0))))),SUMPRODUCT(MAX((C$10:C130=C131)*(N$10:N130="OK")*(F$10:F130)))+IF(C131="Squat",Settings!$B$12,IF(C131="Bench Press",Settings!$B$13,IF(C131="Deadlift",Settings!$B$14,IF(C131="Overhead Press",Settings!$B$15,IF(C131="Power Clean",Settings!$B$16,0)))))))))</f>
      </c>
      <c r="F131" s="28" t="s">
        <v>0</v>
      </c>
      <c r="G131" s="28" t="s">
        <v>0</v>
      </c>
      <c r="H131" s="28" t="s">
        <v>0</v>
      </c>
      <c r="I131" s="28" t="s">
        <v>0</v>
      </c>
      <c r="J131" s="44" t="s">
        <v>0</v>
      </c>
      <c r="K131" s="44" t="s">
        <v>0</v>
      </c>
      <c r="L131" s="43">
        <f>IF(C131="","",SUM(G131:K131))</f>
      </c>
      <c r="M131" s="43">
        <f>IF(C131="","",IF(NOT(OR(C131="Squat",C131="Bench Press",C131="Deadlift",C131="Overhead Press",C131="Power Clean",C131="Light Squat")),30,IF(OR(C131="Squat",C131="Bench Press",C131="Overhead Press",C131="Light Squat"),15,IF(C131="Deadlift",5,IF(C131="Power Clean",15,0)))))</f>
      </c>
      <c r="N131" s="43">
        <f>IF(C131="","",IF(NOT(OR(C131="Squat",C131="Bench Press",C131="Deadlift",C131="Overhead Press",C131="Power Clean",C131="Light Squat")),"—",IF(L131&gt;=M131,"OK","STALL")))</f>
      </c>
      <c r="O131" s="43" t="s">
        <v>0</v>
      </c>
      <c r="P131" s="43">
        <f>IF($C131="Squat",$F131,0)</f>
      </c>
      <c r="Q131" s="43">
        <f>IF($C131="Bench Press",$F131,0)</f>
      </c>
      <c r="R131" s="43">
        <f>IF($C131="Deadlift",$F131,0)</f>
      </c>
      <c r="S131" s="43">
        <f>IF($C131="Overhead Press",$F131,0)</f>
      </c>
      <c r="T131" s="43">
        <f>IF($C131="Power Clean",$F131,0)</f>
      </c>
    </row>
    <row r="132" spans="1:20" x14ac:dyDescent="0.25">
      <c r="A132" s="28" t="s">
        <v>0</v>
      </c>
      <c r="B132" s="28" t="s">
        <v>0</v>
      </c>
      <c r="C132" s="28" t="s">
        <v>0</v>
      </c>
      <c r="D132" s="43">
        <f>IF(C132="","",IF(OR(C132="Squat",C132="Bench Press",C132="Overhead Press",C132="Light Squat"),"3x5",IF(C132="Deadlift","1x5",IF(C132="Power Clean","5x3","3x10"))))</f>
      </c>
      <c r="E132" s="43">
        <f>IF(C132="","",IF(NOT(OR(C132="Squat",C132="Bench Press",C132="Deadlift",C132="Overhead Press",C132="Power Clean",C132="Light Squat")),"—",IF(C132="Light Squat",IF(COUNTIF(C$10:C131,"Light Squat")=0,ROUND(SUMPRODUCT(MAX((C$10:C131="Squat")*(N$10:N131="OK")*(F$10:F131)))*Settings!$B$37/100/5,0)*5,IF(SUMPRODUCT((C$10:C131="Light Squat")*(N$10:N131="OK")*1)=0,ROUND(SUMPRODUCT(MAX((C$10:C131="Squat")*(N$10:N131="OK")*(F$10:F131)))*Settings!$B$37/100/5,0)*5,SUMPRODUCT(MAX((C$10:C131="Light Squat")*(N$10:N131="OK")*(F$10:F131)))+Settings!$B$38)),IF(SUMPRODUCT((C$10:C131=C132)*(N$10:N131="OK")*1)=0,IF(C132="Squat",Settings!$B$5,IF(C132="Bench Press",Settings!$B$6,IF(C132="Deadlift",Settings!$B$7,IF(C132="Overhead Press",Settings!$B$8,IF(C132="Power Clean",Settings!$B$9,0))))),SUMPRODUCT(MAX((C$10:C131=C132)*(N$10:N131="OK")*(F$10:F131)))+IF(C132="Squat",Settings!$B$12,IF(C132="Bench Press",Settings!$B$13,IF(C132="Deadlift",Settings!$B$14,IF(C132="Overhead Press",Settings!$B$15,IF(C132="Power Clean",Settings!$B$16,0)))))))))</f>
      </c>
      <c r="F132" s="28" t="s">
        <v>0</v>
      </c>
      <c r="G132" s="28" t="s">
        <v>0</v>
      </c>
      <c r="H132" s="28" t="s">
        <v>0</v>
      </c>
      <c r="I132" s="28" t="s">
        <v>0</v>
      </c>
      <c r="J132" s="44" t="s">
        <v>0</v>
      </c>
      <c r="K132" s="44" t="s">
        <v>0</v>
      </c>
      <c r="L132" s="43">
        <f>IF(C132="","",SUM(G132:K132))</f>
      </c>
      <c r="M132" s="43">
        <f>IF(C132="","",IF(NOT(OR(C132="Squat",C132="Bench Press",C132="Deadlift",C132="Overhead Press",C132="Power Clean",C132="Light Squat")),30,IF(OR(C132="Squat",C132="Bench Press",C132="Overhead Press",C132="Light Squat"),15,IF(C132="Deadlift",5,IF(C132="Power Clean",15,0)))))</f>
      </c>
      <c r="N132" s="43">
        <f>IF(C132="","",IF(NOT(OR(C132="Squat",C132="Bench Press",C132="Deadlift",C132="Overhead Press",C132="Power Clean",C132="Light Squat")),"—",IF(L132&gt;=M132,"OK","STALL")))</f>
      </c>
      <c r="O132" s="43" t="s">
        <v>0</v>
      </c>
      <c r="P132" s="43">
        <f>IF($C132="Squat",$F132,0)</f>
      </c>
      <c r="Q132" s="43">
        <f>IF($C132="Bench Press",$F132,0)</f>
      </c>
      <c r="R132" s="43">
        <f>IF($C132="Deadlift",$F132,0)</f>
      </c>
      <c r="S132" s="43">
        <f>IF($C132="Overhead Press",$F132,0)</f>
      </c>
      <c r="T132" s="43">
        <f>IF($C132="Power Clean",$F132,0)</f>
      </c>
    </row>
    <row r="133" spans="1:20" x14ac:dyDescent="0.25">
      <c r="A133" s="28" t="s">
        <v>0</v>
      </c>
      <c r="B133" s="28" t="s">
        <v>0</v>
      </c>
      <c r="C133" s="28" t="s">
        <v>0</v>
      </c>
      <c r="D133" s="43">
        <f>IF(C133="","",IF(OR(C133="Squat",C133="Bench Press",C133="Overhead Press",C133="Light Squat"),"3x5",IF(C133="Deadlift","1x5",IF(C133="Power Clean","5x3","3x10"))))</f>
      </c>
      <c r="E133" s="43">
        <f>IF(C133="","",IF(NOT(OR(C133="Squat",C133="Bench Press",C133="Deadlift",C133="Overhead Press",C133="Power Clean",C133="Light Squat")),"—",IF(C133="Light Squat",IF(COUNTIF(C$10:C132,"Light Squat")=0,ROUND(SUMPRODUCT(MAX((C$10:C132="Squat")*(N$10:N132="OK")*(F$10:F132)))*Settings!$B$37/100/5,0)*5,IF(SUMPRODUCT((C$10:C132="Light Squat")*(N$10:N132="OK")*1)=0,ROUND(SUMPRODUCT(MAX((C$10:C132="Squat")*(N$10:N132="OK")*(F$10:F132)))*Settings!$B$37/100/5,0)*5,SUMPRODUCT(MAX((C$10:C132="Light Squat")*(N$10:N132="OK")*(F$10:F132)))+Settings!$B$38)),IF(SUMPRODUCT((C$10:C132=C133)*(N$10:N132="OK")*1)=0,IF(C133="Squat",Settings!$B$5,IF(C133="Bench Press",Settings!$B$6,IF(C133="Deadlift",Settings!$B$7,IF(C133="Overhead Press",Settings!$B$8,IF(C133="Power Clean",Settings!$B$9,0))))),SUMPRODUCT(MAX((C$10:C132=C133)*(N$10:N132="OK")*(F$10:F132)))+IF(C133="Squat",Settings!$B$12,IF(C133="Bench Press",Settings!$B$13,IF(C133="Deadlift",Settings!$B$14,IF(C133="Overhead Press",Settings!$B$15,IF(C133="Power Clean",Settings!$B$16,0)))))))))</f>
      </c>
      <c r="F133" s="28" t="s">
        <v>0</v>
      </c>
      <c r="G133" s="28" t="s">
        <v>0</v>
      </c>
      <c r="H133" s="28" t="s">
        <v>0</v>
      </c>
      <c r="I133" s="28" t="s">
        <v>0</v>
      </c>
      <c r="J133" s="44" t="s">
        <v>0</v>
      </c>
      <c r="K133" s="44" t="s">
        <v>0</v>
      </c>
      <c r="L133" s="43">
        <f>IF(C133="","",SUM(G133:K133))</f>
      </c>
      <c r="M133" s="43">
        <f>IF(C133="","",IF(NOT(OR(C133="Squat",C133="Bench Press",C133="Deadlift",C133="Overhead Press",C133="Power Clean",C133="Light Squat")),30,IF(OR(C133="Squat",C133="Bench Press",C133="Overhead Press",C133="Light Squat"),15,IF(C133="Deadlift",5,IF(C133="Power Clean",15,0)))))</f>
      </c>
      <c r="N133" s="43">
        <f>IF(C133="","",IF(NOT(OR(C133="Squat",C133="Bench Press",C133="Deadlift",C133="Overhead Press",C133="Power Clean",C133="Light Squat")),"—",IF(L133&gt;=M133,"OK","STALL")))</f>
      </c>
      <c r="O133" s="43" t="s">
        <v>0</v>
      </c>
      <c r="P133" s="43">
        <f>IF($C133="Squat",$F133,0)</f>
      </c>
      <c r="Q133" s="43">
        <f>IF($C133="Bench Press",$F133,0)</f>
      </c>
      <c r="R133" s="43">
        <f>IF($C133="Deadlift",$F133,0)</f>
      </c>
      <c r="S133" s="43">
        <f>IF($C133="Overhead Press",$F133,0)</f>
      </c>
      <c r="T133" s="43">
        <f>IF($C133="Power Clean",$F133,0)</f>
      </c>
    </row>
    <row r="134" spans="1:20" x14ac:dyDescent="0.25">
      <c r="A134" s="28" t="s">
        <v>0</v>
      </c>
      <c r="B134" s="28" t="s">
        <v>0</v>
      </c>
      <c r="C134" s="28" t="s">
        <v>0</v>
      </c>
      <c r="D134" s="43">
        <f>IF(C134="","",IF(OR(C134="Squat",C134="Bench Press",C134="Overhead Press",C134="Light Squat"),"3x5",IF(C134="Deadlift","1x5",IF(C134="Power Clean","5x3","3x10"))))</f>
      </c>
      <c r="E134" s="43">
        <f>IF(C134="","",IF(NOT(OR(C134="Squat",C134="Bench Press",C134="Deadlift",C134="Overhead Press",C134="Power Clean",C134="Light Squat")),"—",IF(C134="Light Squat",IF(COUNTIF(C$10:C133,"Light Squat")=0,ROUND(SUMPRODUCT(MAX((C$10:C133="Squat")*(N$10:N133="OK")*(F$10:F133)))*Settings!$B$37/100/5,0)*5,IF(SUMPRODUCT((C$10:C133="Light Squat")*(N$10:N133="OK")*1)=0,ROUND(SUMPRODUCT(MAX((C$10:C133="Squat")*(N$10:N133="OK")*(F$10:F133)))*Settings!$B$37/100/5,0)*5,SUMPRODUCT(MAX((C$10:C133="Light Squat")*(N$10:N133="OK")*(F$10:F133)))+Settings!$B$38)),IF(SUMPRODUCT((C$10:C133=C134)*(N$10:N133="OK")*1)=0,IF(C134="Squat",Settings!$B$5,IF(C134="Bench Press",Settings!$B$6,IF(C134="Deadlift",Settings!$B$7,IF(C134="Overhead Press",Settings!$B$8,IF(C134="Power Clean",Settings!$B$9,0))))),SUMPRODUCT(MAX((C$10:C133=C134)*(N$10:N133="OK")*(F$10:F133)))+IF(C134="Squat",Settings!$B$12,IF(C134="Bench Press",Settings!$B$13,IF(C134="Deadlift",Settings!$B$14,IF(C134="Overhead Press",Settings!$B$15,IF(C134="Power Clean",Settings!$B$16,0)))))))))</f>
      </c>
      <c r="F134" s="28" t="s">
        <v>0</v>
      </c>
      <c r="G134" s="28" t="s">
        <v>0</v>
      </c>
      <c r="H134" s="28" t="s">
        <v>0</v>
      </c>
      <c r="I134" s="28" t="s">
        <v>0</v>
      </c>
      <c r="J134" s="44" t="s">
        <v>0</v>
      </c>
      <c r="K134" s="44" t="s">
        <v>0</v>
      </c>
      <c r="L134" s="43">
        <f>IF(C134="","",SUM(G134:K134))</f>
      </c>
      <c r="M134" s="43">
        <f>IF(C134="","",IF(NOT(OR(C134="Squat",C134="Bench Press",C134="Deadlift",C134="Overhead Press",C134="Power Clean",C134="Light Squat")),30,IF(OR(C134="Squat",C134="Bench Press",C134="Overhead Press",C134="Light Squat"),15,IF(C134="Deadlift",5,IF(C134="Power Clean",15,0)))))</f>
      </c>
      <c r="N134" s="43">
        <f>IF(C134="","",IF(NOT(OR(C134="Squat",C134="Bench Press",C134="Deadlift",C134="Overhead Press",C134="Power Clean",C134="Light Squat")),"—",IF(L134&gt;=M134,"OK","STALL")))</f>
      </c>
      <c r="O134" s="43" t="s">
        <v>0</v>
      </c>
      <c r="P134" s="43">
        <f>IF($C134="Squat",$F134,0)</f>
      </c>
      <c r="Q134" s="43">
        <f>IF($C134="Bench Press",$F134,0)</f>
      </c>
      <c r="R134" s="43">
        <f>IF($C134="Deadlift",$F134,0)</f>
      </c>
      <c r="S134" s="43">
        <f>IF($C134="Overhead Press",$F134,0)</f>
      </c>
      <c r="T134" s="43">
        <f>IF($C134="Power Clean",$F134,0)</f>
      </c>
    </row>
    <row r="135" spans="1:20" x14ac:dyDescent="0.25">
      <c r="A135" s="28" t="s">
        <v>0</v>
      </c>
      <c r="B135" s="28" t="s">
        <v>0</v>
      </c>
      <c r="C135" s="28" t="s">
        <v>0</v>
      </c>
      <c r="D135" s="43">
        <f>IF(C135="","",IF(OR(C135="Squat",C135="Bench Press",C135="Overhead Press",C135="Light Squat"),"3x5",IF(C135="Deadlift","1x5",IF(C135="Power Clean","5x3","3x10"))))</f>
      </c>
      <c r="E135" s="43">
        <f>IF(C135="","",IF(NOT(OR(C135="Squat",C135="Bench Press",C135="Deadlift",C135="Overhead Press",C135="Power Clean",C135="Light Squat")),"—",IF(C135="Light Squat",IF(COUNTIF(C$10:C134,"Light Squat")=0,ROUND(SUMPRODUCT(MAX((C$10:C134="Squat")*(N$10:N134="OK")*(F$10:F134)))*Settings!$B$37/100/5,0)*5,IF(SUMPRODUCT((C$10:C134="Light Squat")*(N$10:N134="OK")*1)=0,ROUND(SUMPRODUCT(MAX((C$10:C134="Squat")*(N$10:N134="OK")*(F$10:F134)))*Settings!$B$37/100/5,0)*5,SUMPRODUCT(MAX((C$10:C134="Light Squat")*(N$10:N134="OK")*(F$10:F134)))+Settings!$B$38)),IF(SUMPRODUCT((C$10:C134=C135)*(N$10:N134="OK")*1)=0,IF(C135="Squat",Settings!$B$5,IF(C135="Bench Press",Settings!$B$6,IF(C135="Deadlift",Settings!$B$7,IF(C135="Overhead Press",Settings!$B$8,IF(C135="Power Clean",Settings!$B$9,0))))),SUMPRODUCT(MAX((C$10:C134=C135)*(N$10:N134="OK")*(F$10:F134)))+IF(C135="Squat",Settings!$B$12,IF(C135="Bench Press",Settings!$B$13,IF(C135="Deadlift",Settings!$B$14,IF(C135="Overhead Press",Settings!$B$15,IF(C135="Power Clean",Settings!$B$16,0)))))))))</f>
      </c>
      <c r="F135" s="28" t="s">
        <v>0</v>
      </c>
      <c r="G135" s="28" t="s">
        <v>0</v>
      </c>
      <c r="H135" s="28" t="s">
        <v>0</v>
      </c>
      <c r="I135" s="28" t="s">
        <v>0</v>
      </c>
      <c r="J135" s="44" t="s">
        <v>0</v>
      </c>
      <c r="K135" s="44" t="s">
        <v>0</v>
      </c>
      <c r="L135" s="43">
        <f>IF(C135="","",SUM(G135:K135))</f>
      </c>
      <c r="M135" s="43">
        <f>IF(C135="","",IF(NOT(OR(C135="Squat",C135="Bench Press",C135="Deadlift",C135="Overhead Press",C135="Power Clean",C135="Light Squat")),30,IF(OR(C135="Squat",C135="Bench Press",C135="Overhead Press",C135="Light Squat"),15,IF(C135="Deadlift",5,IF(C135="Power Clean",15,0)))))</f>
      </c>
      <c r="N135" s="43">
        <f>IF(C135="","",IF(NOT(OR(C135="Squat",C135="Bench Press",C135="Deadlift",C135="Overhead Press",C135="Power Clean",C135="Light Squat")),"—",IF(L135&gt;=M135,"OK","STALL")))</f>
      </c>
      <c r="O135" s="43" t="s">
        <v>0</v>
      </c>
      <c r="P135" s="43">
        <f>IF($C135="Squat",$F135,0)</f>
      </c>
      <c r="Q135" s="43">
        <f>IF($C135="Bench Press",$F135,0)</f>
      </c>
      <c r="R135" s="43">
        <f>IF($C135="Deadlift",$F135,0)</f>
      </c>
      <c r="S135" s="43">
        <f>IF($C135="Overhead Press",$F135,0)</f>
      </c>
      <c r="T135" s="43">
        <f>IF($C135="Power Clean",$F135,0)</f>
      </c>
    </row>
    <row r="136" spans="1:20" x14ac:dyDescent="0.25">
      <c r="A136" s="28" t="s">
        <v>0</v>
      </c>
      <c r="B136" s="28" t="s">
        <v>0</v>
      </c>
      <c r="C136" s="28" t="s">
        <v>0</v>
      </c>
      <c r="D136" s="43">
        <f>IF(C136="","",IF(OR(C136="Squat",C136="Bench Press",C136="Overhead Press",C136="Light Squat"),"3x5",IF(C136="Deadlift","1x5",IF(C136="Power Clean","5x3","3x10"))))</f>
      </c>
      <c r="E136" s="43">
        <f>IF(C136="","",IF(NOT(OR(C136="Squat",C136="Bench Press",C136="Deadlift",C136="Overhead Press",C136="Power Clean",C136="Light Squat")),"—",IF(C136="Light Squat",IF(COUNTIF(C$10:C135,"Light Squat")=0,ROUND(SUMPRODUCT(MAX((C$10:C135="Squat")*(N$10:N135="OK")*(F$10:F135)))*Settings!$B$37/100/5,0)*5,IF(SUMPRODUCT((C$10:C135="Light Squat")*(N$10:N135="OK")*1)=0,ROUND(SUMPRODUCT(MAX((C$10:C135="Squat")*(N$10:N135="OK")*(F$10:F135)))*Settings!$B$37/100/5,0)*5,SUMPRODUCT(MAX((C$10:C135="Light Squat")*(N$10:N135="OK")*(F$10:F135)))+Settings!$B$38)),IF(SUMPRODUCT((C$10:C135=C136)*(N$10:N135="OK")*1)=0,IF(C136="Squat",Settings!$B$5,IF(C136="Bench Press",Settings!$B$6,IF(C136="Deadlift",Settings!$B$7,IF(C136="Overhead Press",Settings!$B$8,IF(C136="Power Clean",Settings!$B$9,0))))),SUMPRODUCT(MAX((C$10:C135=C136)*(N$10:N135="OK")*(F$10:F135)))+IF(C136="Squat",Settings!$B$12,IF(C136="Bench Press",Settings!$B$13,IF(C136="Deadlift",Settings!$B$14,IF(C136="Overhead Press",Settings!$B$15,IF(C136="Power Clean",Settings!$B$16,0)))))))))</f>
      </c>
      <c r="F136" s="28" t="s">
        <v>0</v>
      </c>
      <c r="G136" s="28" t="s">
        <v>0</v>
      </c>
      <c r="H136" s="28" t="s">
        <v>0</v>
      </c>
      <c r="I136" s="28" t="s">
        <v>0</v>
      </c>
      <c r="J136" s="44" t="s">
        <v>0</v>
      </c>
      <c r="K136" s="44" t="s">
        <v>0</v>
      </c>
      <c r="L136" s="43">
        <f>IF(C136="","",SUM(G136:K136))</f>
      </c>
      <c r="M136" s="43">
        <f>IF(C136="","",IF(NOT(OR(C136="Squat",C136="Bench Press",C136="Deadlift",C136="Overhead Press",C136="Power Clean",C136="Light Squat")),30,IF(OR(C136="Squat",C136="Bench Press",C136="Overhead Press",C136="Light Squat"),15,IF(C136="Deadlift",5,IF(C136="Power Clean",15,0)))))</f>
      </c>
      <c r="N136" s="43">
        <f>IF(C136="","",IF(NOT(OR(C136="Squat",C136="Bench Press",C136="Deadlift",C136="Overhead Press",C136="Power Clean",C136="Light Squat")),"—",IF(L136&gt;=M136,"OK","STALL")))</f>
      </c>
      <c r="O136" s="43" t="s">
        <v>0</v>
      </c>
      <c r="P136" s="43">
        <f>IF($C136="Squat",$F136,0)</f>
      </c>
      <c r="Q136" s="43">
        <f>IF($C136="Bench Press",$F136,0)</f>
      </c>
      <c r="R136" s="43">
        <f>IF($C136="Deadlift",$F136,0)</f>
      </c>
      <c r="S136" s="43">
        <f>IF($C136="Overhead Press",$F136,0)</f>
      </c>
      <c r="T136" s="43">
        <f>IF($C136="Power Clean",$F136,0)</f>
      </c>
    </row>
    <row r="137" spans="1:20" x14ac:dyDescent="0.25">
      <c r="A137" s="28" t="s">
        <v>0</v>
      </c>
      <c r="B137" s="28" t="s">
        <v>0</v>
      </c>
      <c r="C137" s="28" t="s">
        <v>0</v>
      </c>
      <c r="D137" s="43">
        <f>IF(C137="","",IF(OR(C137="Squat",C137="Bench Press",C137="Overhead Press",C137="Light Squat"),"3x5",IF(C137="Deadlift","1x5",IF(C137="Power Clean","5x3","3x10"))))</f>
      </c>
      <c r="E137" s="43">
        <f>IF(C137="","",IF(NOT(OR(C137="Squat",C137="Bench Press",C137="Deadlift",C137="Overhead Press",C137="Power Clean",C137="Light Squat")),"—",IF(C137="Light Squat",IF(COUNTIF(C$10:C136,"Light Squat")=0,ROUND(SUMPRODUCT(MAX((C$10:C136="Squat")*(N$10:N136="OK")*(F$10:F136)))*Settings!$B$37/100/5,0)*5,IF(SUMPRODUCT((C$10:C136="Light Squat")*(N$10:N136="OK")*1)=0,ROUND(SUMPRODUCT(MAX((C$10:C136="Squat")*(N$10:N136="OK")*(F$10:F136)))*Settings!$B$37/100/5,0)*5,SUMPRODUCT(MAX((C$10:C136="Light Squat")*(N$10:N136="OK")*(F$10:F136)))+Settings!$B$38)),IF(SUMPRODUCT((C$10:C136=C137)*(N$10:N136="OK")*1)=0,IF(C137="Squat",Settings!$B$5,IF(C137="Bench Press",Settings!$B$6,IF(C137="Deadlift",Settings!$B$7,IF(C137="Overhead Press",Settings!$B$8,IF(C137="Power Clean",Settings!$B$9,0))))),SUMPRODUCT(MAX((C$10:C136=C137)*(N$10:N136="OK")*(F$10:F136)))+IF(C137="Squat",Settings!$B$12,IF(C137="Bench Press",Settings!$B$13,IF(C137="Deadlift",Settings!$B$14,IF(C137="Overhead Press",Settings!$B$15,IF(C137="Power Clean",Settings!$B$16,0)))))))))</f>
      </c>
      <c r="F137" s="28" t="s">
        <v>0</v>
      </c>
      <c r="G137" s="28" t="s">
        <v>0</v>
      </c>
      <c r="H137" s="28" t="s">
        <v>0</v>
      </c>
      <c r="I137" s="28" t="s">
        <v>0</v>
      </c>
      <c r="J137" s="44" t="s">
        <v>0</v>
      </c>
      <c r="K137" s="44" t="s">
        <v>0</v>
      </c>
      <c r="L137" s="43">
        <f>IF(C137="","",SUM(G137:K137))</f>
      </c>
      <c r="M137" s="43">
        <f>IF(C137="","",IF(NOT(OR(C137="Squat",C137="Bench Press",C137="Deadlift",C137="Overhead Press",C137="Power Clean",C137="Light Squat")),30,IF(OR(C137="Squat",C137="Bench Press",C137="Overhead Press",C137="Light Squat"),15,IF(C137="Deadlift",5,IF(C137="Power Clean",15,0)))))</f>
      </c>
      <c r="N137" s="43">
        <f>IF(C137="","",IF(NOT(OR(C137="Squat",C137="Bench Press",C137="Deadlift",C137="Overhead Press",C137="Power Clean",C137="Light Squat")),"—",IF(L137&gt;=M137,"OK","STALL")))</f>
      </c>
      <c r="O137" s="43" t="s">
        <v>0</v>
      </c>
      <c r="P137" s="43">
        <f>IF($C137="Squat",$F137,0)</f>
      </c>
      <c r="Q137" s="43">
        <f>IF($C137="Bench Press",$F137,0)</f>
      </c>
      <c r="R137" s="43">
        <f>IF($C137="Deadlift",$F137,0)</f>
      </c>
      <c r="S137" s="43">
        <f>IF($C137="Overhead Press",$F137,0)</f>
      </c>
      <c r="T137" s="43">
        <f>IF($C137="Power Clean",$F137,0)</f>
      </c>
    </row>
    <row r="138" spans="1:20" x14ac:dyDescent="0.25">
      <c r="A138" s="28" t="s">
        <v>0</v>
      </c>
      <c r="B138" s="28" t="s">
        <v>0</v>
      </c>
      <c r="C138" s="28" t="s">
        <v>0</v>
      </c>
      <c r="D138" s="43">
        <f>IF(C138="","",IF(OR(C138="Squat",C138="Bench Press",C138="Overhead Press",C138="Light Squat"),"3x5",IF(C138="Deadlift","1x5",IF(C138="Power Clean","5x3","3x10"))))</f>
      </c>
      <c r="E138" s="43">
        <f>IF(C138="","",IF(NOT(OR(C138="Squat",C138="Bench Press",C138="Deadlift",C138="Overhead Press",C138="Power Clean",C138="Light Squat")),"—",IF(C138="Light Squat",IF(COUNTIF(C$10:C137,"Light Squat")=0,ROUND(SUMPRODUCT(MAX((C$10:C137="Squat")*(N$10:N137="OK")*(F$10:F137)))*Settings!$B$37/100/5,0)*5,IF(SUMPRODUCT((C$10:C137="Light Squat")*(N$10:N137="OK")*1)=0,ROUND(SUMPRODUCT(MAX((C$10:C137="Squat")*(N$10:N137="OK")*(F$10:F137)))*Settings!$B$37/100/5,0)*5,SUMPRODUCT(MAX((C$10:C137="Light Squat")*(N$10:N137="OK")*(F$10:F137)))+Settings!$B$38)),IF(SUMPRODUCT((C$10:C137=C138)*(N$10:N137="OK")*1)=0,IF(C138="Squat",Settings!$B$5,IF(C138="Bench Press",Settings!$B$6,IF(C138="Deadlift",Settings!$B$7,IF(C138="Overhead Press",Settings!$B$8,IF(C138="Power Clean",Settings!$B$9,0))))),SUMPRODUCT(MAX((C$10:C137=C138)*(N$10:N137="OK")*(F$10:F137)))+IF(C138="Squat",Settings!$B$12,IF(C138="Bench Press",Settings!$B$13,IF(C138="Deadlift",Settings!$B$14,IF(C138="Overhead Press",Settings!$B$15,IF(C138="Power Clean",Settings!$B$16,0)))))))))</f>
      </c>
      <c r="F138" s="28" t="s">
        <v>0</v>
      </c>
      <c r="G138" s="28" t="s">
        <v>0</v>
      </c>
      <c r="H138" s="28" t="s">
        <v>0</v>
      </c>
      <c r="I138" s="28" t="s">
        <v>0</v>
      </c>
      <c r="J138" s="44" t="s">
        <v>0</v>
      </c>
      <c r="K138" s="44" t="s">
        <v>0</v>
      </c>
      <c r="L138" s="43">
        <f>IF(C138="","",SUM(G138:K138))</f>
      </c>
      <c r="M138" s="43">
        <f>IF(C138="","",IF(NOT(OR(C138="Squat",C138="Bench Press",C138="Deadlift",C138="Overhead Press",C138="Power Clean",C138="Light Squat")),30,IF(OR(C138="Squat",C138="Bench Press",C138="Overhead Press",C138="Light Squat"),15,IF(C138="Deadlift",5,IF(C138="Power Clean",15,0)))))</f>
      </c>
      <c r="N138" s="43">
        <f>IF(C138="","",IF(NOT(OR(C138="Squat",C138="Bench Press",C138="Deadlift",C138="Overhead Press",C138="Power Clean",C138="Light Squat")),"—",IF(L138&gt;=M138,"OK","STALL")))</f>
      </c>
      <c r="O138" s="43" t="s">
        <v>0</v>
      </c>
      <c r="P138" s="43">
        <f>IF($C138="Squat",$F138,0)</f>
      </c>
      <c r="Q138" s="43">
        <f>IF($C138="Bench Press",$F138,0)</f>
      </c>
      <c r="R138" s="43">
        <f>IF($C138="Deadlift",$F138,0)</f>
      </c>
      <c r="S138" s="43">
        <f>IF($C138="Overhead Press",$F138,0)</f>
      </c>
      <c r="T138" s="43">
        <f>IF($C138="Power Clean",$F138,0)</f>
      </c>
    </row>
    <row r="139" spans="1:20" x14ac:dyDescent="0.25">
      <c r="A139" s="28" t="s">
        <v>0</v>
      </c>
      <c r="B139" s="28" t="s">
        <v>0</v>
      </c>
      <c r="C139" s="28" t="s">
        <v>0</v>
      </c>
      <c r="D139" s="43">
        <f>IF(C139="","",IF(OR(C139="Squat",C139="Bench Press",C139="Overhead Press",C139="Light Squat"),"3x5",IF(C139="Deadlift","1x5",IF(C139="Power Clean","5x3","3x10"))))</f>
      </c>
      <c r="E139" s="43">
        <f>IF(C139="","",IF(NOT(OR(C139="Squat",C139="Bench Press",C139="Deadlift",C139="Overhead Press",C139="Power Clean",C139="Light Squat")),"—",IF(C139="Light Squat",IF(COUNTIF(C$10:C138,"Light Squat")=0,ROUND(SUMPRODUCT(MAX((C$10:C138="Squat")*(N$10:N138="OK")*(F$10:F138)))*Settings!$B$37/100/5,0)*5,IF(SUMPRODUCT((C$10:C138="Light Squat")*(N$10:N138="OK")*1)=0,ROUND(SUMPRODUCT(MAX((C$10:C138="Squat")*(N$10:N138="OK")*(F$10:F138)))*Settings!$B$37/100/5,0)*5,SUMPRODUCT(MAX((C$10:C138="Light Squat")*(N$10:N138="OK")*(F$10:F138)))+Settings!$B$38)),IF(SUMPRODUCT((C$10:C138=C139)*(N$10:N138="OK")*1)=0,IF(C139="Squat",Settings!$B$5,IF(C139="Bench Press",Settings!$B$6,IF(C139="Deadlift",Settings!$B$7,IF(C139="Overhead Press",Settings!$B$8,IF(C139="Power Clean",Settings!$B$9,0))))),SUMPRODUCT(MAX((C$10:C138=C139)*(N$10:N138="OK")*(F$10:F138)))+IF(C139="Squat",Settings!$B$12,IF(C139="Bench Press",Settings!$B$13,IF(C139="Deadlift",Settings!$B$14,IF(C139="Overhead Press",Settings!$B$15,IF(C139="Power Clean",Settings!$B$16,0)))))))))</f>
      </c>
      <c r="F139" s="28" t="s">
        <v>0</v>
      </c>
      <c r="G139" s="28" t="s">
        <v>0</v>
      </c>
      <c r="H139" s="28" t="s">
        <v>0</v>
      </c>
      <c r="I139" s="28" t="s">
        <v>0</v>
      </c>
      <c r="J139" s="44" t="s">
        <v>0</v>
      </c>
      <c r="K139" s="44" t="s">
        <v>0</v>
      </c>
      <c r="L139" s="43">
        <f>IF(C139="","",SUM(G139:K139))</f>
      </c>
      <c r="M139" s="43">
        <f>IF(C139="","",IF(NOT(OR(C139="Squat",C139="Bench Press",C139="Deadlift",C139="Overhead Press",C139="Power Clean",C139="Light Squat")),30,IF(OR(C139="Squat",C139="Bench Press",C139="Overhead Press",C139="Light Squat"),15,IF(C139="Deadlift",5,IF(C139="Power Clean",15,0)))))</f>
      </c>
      <c r="N139" s="43">
        <f>IF(C139="","",IF(NOT(OR(C139="Squat",C139="Bench Press",C139="Deadlift",C139="Overhead Press",C139="Power Clean",C139="Light Squat")),"—",IF(L139&gt;=M139,"OK","STALL")))</f>
      </c>
      <c r="O139" s="43" t="s">
        <v>0</v>
      </c>
      <c r="P139" s="43">
        <f>IF($C139="Squat",$F139,0)</f>
      </c>
      <c r="Q139" s="43">
        <f>IF($C139="Bench Press",$F139,0)</f>
      </c>
      <c r="R139" s="43">
        <f>IF($C139="Deadlift",$F139,0)</f>
      </c>
      <c r="S139" s="43">
        <f>IF($C139="Overhead Press",$F139,0)</f>
      </c>
      <c r="T139" s="43">
        <f>IF($C139="Power Clean",$F139,0)</f>
      </c>
    </row>
    <row r="140" spans="1:20" x14ac:dyDescent="0.25">
      <c r="A140" s="28" t="s">
        <v>0</v>
      </c>
      <c r="B140" s="28" t="s">
        <v>0</v>
      </c>
      <c r="C140" s="28" t="s">
        <v>0</v>
      </c>
      <c r="D140" s="43">
        <f>IF(C140="","",IF(OR(C140="Squat",C140="Bench Press",C140="Overhead Press",C140="Light Squat"),"3x5",IF(C140="Deadlift","1x5",IF(C140="Power Clean","5x3","3x10"))))</f>
      </c>
      <c r="E140" s="43">
        <f>IF(C140="","",IF(NOT(OR(C140="Squat",C140="Bench Press",C140="Deadlift",C140="Overhead Press",C140="Power Clean",C140="Light Squat")),"—",IF(C140="Light Squat",IF(COUNTIF(C$10:C139,"Light Squat")=0,ROUND(SUMPRODUCT(MAX((C$10:C139="Squat")*(N$10:N139="OK")*(F$10:F139)))*Settings!$B$37/100/5,0)*5,IF(SUMPRODUCT((C$10:C139="Light Squat")*(N$10:N139="OK")*1)=0,ROUND(SUMPRODUCT(MAX((C$10:C139="Squat")*(N$10:N139="OK")*(F$10:F139)))*Settings!$B$37/100/5,0)*5,SUMPRODUCT(MAX((C$10:C139="Light Squat")*(N$10:N139="OK")*(F$10:F139)))+Settings!$B$38)),IF(SUMPRODUCT((C$10:C139=C140)*(N$10:N139="OK")*1)=0,IF(C140="Squat",Settings!$B$5,IF(C140="Bench Press",Settings!$B$6,IF(C140="Deadlift",Settings!$B$7,IF(C140="Overhead Press",Settings!$B$8,IF(C140="Power Clean",Settings!$B$9,0))))),SUMPRODUCT(MAX((C$10:C139=C140)*(N$10:N139="OK")*(F$10:F139)))+IF(C140="Squat",Settings!$B$12,IF(C140="Bench Press",Settings!$B$13,IF(C140="Deadlift",Settings!$B$14,IF(C140="Overhead Press",Settings!$B$15,IF(C140="Power Clean",Settings!$B$16,0)))))))))</f>
      </c>
      <c r="F140" s="28" t="s">
        <v>0</v>
      </c>
      <c r="G140" s="28" t="s">
        <v>0</v>
      </c>
      <c r="H140" s="28" t="s">
        <v>0</v>
      </c>
      <c r="I140" s="28" t="s">
        <v>0</v>
      </c>
      <c r="J140" s="44" t="s">
        <v>0</v>
      </c>
      <c r="K140" s="44" t="s">
        <v>0</v>
      </c>
      <c r="L140" s="43">
        <f>IF(C140="","",SUM(G140:K140))</f>
      </c>
      <c r="M140" s="43">
        <f>IF(C140="","",IF(NOT(OR(C140="Squat",C140="Bench Press",C140="Deadlift",C140="Overhead Press",C140="Power Clean",C140="Light Squat")),30,IF(OR(C140="Squat",C140="Bench Press",C140="Overhead Press",C140="Light Squat"),15,IF(C140="Deadlift",5,IF(C140="Power Clean",15,0)))))</f>
      </c>
      <c r="N140" s="43">
        <f>IF(C140="","",IF(NOT(OR(C140="Squat",C140="Bench Press",C140="Deadlift",C140="Overhead Press",C140="Power Clean",C140="Light Squat")),"—",IF(L140&gt;=M140,"OK","STALL")))</f>
      </c>
      <c r="O140" s="43" t="s">
        <v>0</v>
      </c>
      <c r="P140" s="43">
        <f>IF($C140="Squat",$F140,0)</f>
      </c>
      <c r="Q140" s="43">
        <f>IF($C140="Bench Press",$F140,0)</f>
      </c>
      <c r="R140" s="43">
        <f>IF($C140="Deadlift",$F140,0)</f>
      </c>
      <c r="S140" s="43">
        <f>IF($C140="Overhead Press",$F140,0)</f>
      </c>
      <c r="T140" s="43">
        <f>IF($C140="Power Clean",$F140,0)</f>
      </c>
    </row>
    <row r="141" spans="1:20" x14ac:dyDescent="0.25">
      <c r="A141" s="28" t="s">
        <v>0</v>
      </c>
      <c r="B141" s="28" t="s">
        <v>0</v>
      </c>
      <c r="C141" s="28" t="s">
        <v>0</v>
      </c>
      <c r="D141" s="43">
        <f>IF(C141="","",IF(OR(C141="Squat",C141="Bench Press",C141="Overhead Press",C141="Light Squat"),"3x5",IF(C141="Deadlift","1x5",IF(C141="Power Clean","5x3","3x10"))))</f>
      </c>
      <c r="E141" s="43">
        <f>IF(C141="","",IF(NOT(OR(C141="Squat",C141="Bench Press",C141="Deadlift",C141="Overhead Press",C141="Power Clean",C141="Light Squat")),"—",IF(C141="Light Squat",IF(COUNTIF(C$10:C140,"Light Squat")=0,ROUND(SUMPRODUCT(MAX((C$10:C140="Squat")*(N$10:N140="OK")*(F$10:F140)))*Settings!$B$37/100/5,0)*5,IF(SUMPRODUCT((C$10:C140="Light Squat")*(N$10:N140="OK")*1)=0,ROUND(SUMPRODUCT(MAX((C$10:C140="Squat")*(N$10:N140="OK")*(F$10:F140)))*Settings!$B$37/100/5,0)*5,SUMPRODUCT(MAX((C$10:C140="Light Squat")*(N$10:N140="OK")*(F$10:F140)))+Settings!$B$38)),IF(SUMPRODUCT((C$10:C140=C141)*(N$10:N140="OK")*1)=0,IF(C141="Squat",Settings!$B$5,IF(C141="Bench Press",Settings!$B$6,IF(C141="Deadlift",Settings!$B$7,IF(C141="Overhead Press",Settings!$B$8,IF(C141="Power Clean",Settings!$B$9,0))))),SUMPRODUCT(MAX((C$10:C140=C141)*(N$10:N140="OK")*(F$10:F140)))+IF(C141="Squat",Settings!$B$12,IF(C141="Bench Press",Settings!$B$13,IF(C141="Deadlift",Settings!$B$14,IF(C141="Overhead Press",Settings!$B$15,IF(C141="Power Clean",Settings!$B$16,0)))))))))</f>
      </c>
      <c r="F141" s="28" t="s">
        <v>0</v>
      </c>
      <c r="G141" s="28" t="s">
        <v>0</v>
      </c>
      <c r="H141" s="28" t="s">
        <v>0</v>
      </c>
      <c r="I141" s="28" t="s">
        <v>0</v>
      </c>
      <c r="J141" s="44" t="s">
        <v>0</v>
      </c>
      <c r="K141" s="44" t="s">
        <v>0</v>
      </c>
      <c r="L141" s="43">
        <f>IF(C141="","",SUM(G141:K141))</f>
      </c>
      <c r="M141" s="43">
        <f>IF(C141="","",IF(NOT(OR(C141="Squat",C141="Bench Press",C141="Deadlift",C141="Overhead Press",C141="Power Clean",C141="Light Squat")),30,IF(OR(C141="Squat",C141="Bench Press",C141="Overhead Press",C141="Light Squat"),15,IF(C141="Deadlift",5,IF(C141="Power Clean",15,0)))))</f>
      </c>
      <c r="N141" s="43">
        <f>IF(C141="","",IF(NOT(OR(C141="Squat",C141="Bench Press",C141="Deadlift",C141="Overhead Press",C141="Power Clean",C141="Light Squat")),"—",IF(L141&gt;=M141,"OK","STALL")))</f>
      </c>
      <c r="O141" s="43" t="s">
        <v>0</v>
      </c>
      <c r="P141" s="43">
        <f>IF($C141="Squat",$F141,0)</f>
      </c>
      <c r="Q141" s="43">
        <f>IF($C141="Bench Press",$F141,0)</f>
      </c>
      <c r="R141" s="43">
        <f>IF($C141="Deadlift",$F141,0)</f>
      </c>
      <c r="S141" s="43">
        <f>IF($C141="Overhead Press",$F141,0)</f>
      </c>
      <c r="T141" s="43">
        <f>IF($C141="Power Clean",$F141,0)</f>
      </c>
    </row>
    <row r="142" spans="1:20" x14ac:dyDescent="0.25">
      <c r="A142" s="28" t="s">
        <v>0</v>
      </c>
      <c r="B142" s="28" t="s">
        <v>0</v>
      </c>
      <c r="C142" s="28" t="s">
        <v>0</v>
      </c>
      <c r="D142" s="43">
        <f>IF(C142="","",IF(OR(C142="Squat",C142="Bench Press",C142="Overhead Press",C142="Light Squat"),"3x5",IF(C142="Deadlift","1x5",IF(C142="Power Clean","5x3","3x10"))))</f>
      </c>
      <c r="E142" s="43">
        <f>IF(C142="","",IF(NOT(OR(C142="Squat",C142="Bench Press",C142="Deadlift",C142="Overhead Press",C142="Power Clean",C142="Light Squat")),"—",IF(C142="Light Squat",IF(COUNTIF(C$10:C141,"Light Squat")=0,ROUND(SUMPRODUCT(MAX((C$10:C141="Squat")*(N$10:N141="OK")*(F$10:F141)))*Settings!$B$37/100/5,0)*5,IF(SUMPRODUCT((C$10:C141="Light Squat")*(N$10:N141="OK")*1)=0,ROUND(SUMPRODUCT(MAX((C$10:C141="Squat")*(N$10:N141="OK")*(F$10:F141)))*Settings!$B$37/100/5,0)*5,SUMPRODUCT(MAX((C$10:C141="Light Squat")*(N$10:N141="OK")*(F$10:F141)))+Settings!$B$38)),IF(SUMPRODUCT((C$10:C141=C142)*(N$10:N141="OK")*1)=0,IF(C142="Squat",Settings!$B$5,IF(C142="Bench Press",Settings!$B$6,IF(C142="Deadlift",Settings!$B$7,IF(C142="Overhead Press",Settings!$B$8,IF(C142="Power Clean",Settings!$B$9,0))))),SUMPRODUCT(MAX((C$10:C141=C142)*(N$10:N141="OK")*(F$10:F141)))+IF(C142="Squat",Settings!$B$12,IF(C142="Bench Press",Settings!$B$13,IF(C142="Deadlift",Settings!$B$14,IF(C142="Overhead Press",Settings!$B$15,IF(C142="Power Clean",Settings!$B$16,0)))))))))</f>
      </c>
      <c r="F142" s="28" t="s">
        <v>0</v>
      </c>
      <c r="G142" s="28" t="s">
        <v>0</v>
      </c>
      <c r="H142" s="28" t="s">
        <v>0</v>
      </c>
      <c r="I142" s="28" t="s">
        <v>0</v>
      </c>
      <c r="J142" s="44" t="s">
        <v>0</v>
      </c>
      <c r="K142" s="44" t="s">
        <v>0</v>
      </c>
      <c r="L142" s="43">
        <f>IF(C142="","",SUM(G142:K142))</f>
      </c>
      <c r="M142" s="43">
        <f>IF(C142="","",IF(NOT(OR(C142="Squat",C142="Bench Press",C142="Deadlift",C142="Overhead Press",C142="Power Clean",C142="Light Squat")),30,IF(OR(C142="Squat",C142="Bench Press",C142="Overhead Press",C142="Light Squat"),15,IF(C142="Deadlift",5,IF(C142="Power Clean",15,0)))))</f>
      </c>
      <c r="N142" s="43">
        <f>IF(C142="","",IF(NOT(OR(C142="Squat",C142="Bench Press",C142="Deadlift",C142="Overhead Press",C142="Power Clean",C142="Light Squat")),"—",IF(L142&gt;=M142,"OK","STALL")))</f>
      </c>
      <c r="O142" s="43" t="s">
        <v>0</v>
      </c>
      <c r="P142" s="43">
        <f>IF($C142="Squat",$F142,0)</f>
      </c>
      <c r="Q142" s="43">
        <f>IF($C142="Bench Press",$F142,0)</f>
      </c>
      <c r="R142" s="43">
        <f>IF($C142="Deadlift",$F142,0)</f>
      </c>
      <c r="S142" s="43">
        <f>IF($C142="Overhead Press",$F142,0)</f>
      </c>
      <c r="T142" s="43">
        <f>IF($C142="Power Clean",$F142,0)</f>
      </c>
    </row>
    <row r="143" spans="1:20" x14ac:dyDescent="0.25">
      <c r="A143" s="28" t="s">
        <v>0</v>
      </c>
      <c r="B143" s="28" t="s">
        <v>0</v>
      </c>
      <c r="C143" s="28" t="s">
        <v>0</v>
      </c>
      <c r="D143" s="43">
        <f>IF(C143="","",IF(OR(C143="Squat",C143="Bench Press",C143="Overhead Press",C143="Light Squat"),"3x5",IF(C143="Deadlift","1x5",IF(C143="Power Clean","5x3","3x10"))))</f>
      </c>
      <c r="E143" s="43">
        <f>IF(C143="","",IF(NOT(OR(C143="Squat",C143="Bench Press",C143="Deadlift",C143="Overhead Press",C143="Power Clean",C143="Light Squat")),"—",IF(C143="Light Squat",IF(COUNTIF(C$10:C142,"Light Squat")=0,ROUND(SUMPRODUCT(MAX((C$10:C142="Squat")*(N$10:N142="OK")*(F$10:F142)))*Settings!$B$37/100/5,0)*5,IF(SUMPRODUCT((C$10:C142="Light Squat")*(N$10:N142="OK")*1)=0,ROUND(SUMPRODUCT(MAX((C$10:C142="Squat")*(N$10:N142="OK")*(F$10:F142)))*Settings!$B$37/100/5,0)*5,SUMPRODUCT(MAX((C$10:C142="Light Squat")*(N$10:N142="OK")*(F$10:F142)))+Settings!$B$38)),IF(SUMPRODUCT((C$10:C142=C143)*(N$10:N142="OK")*1)=0,IF(C143="Squat",Settings!$B$5,IF(C143="Bench Press",Settings!$B$6,IF(C143="Deadlift",Settings!$B$7,IF(C143="Overhead Press",Settings!$B$8,IF(C143="Power Clean",Settings!$B$9,0))))),SUMPRODUCT(MAX((C$10:C142=C143)*(N$10:N142="OK")*(F$10:F142)))+IF(C143="Squat",Settings!$B$12,IF(C143="Bench Press",Settings!$B$13,IF(C143="Deadlift",Settings!$B$14,IF(C143="Overhead Press",Settings!$B$15,IF(C143="Power Clean",Settings!$B$16,0)))))))))</f>
      </c>
      <c r="F143" s="28" t="s">
        <v>0</v>
      </c>
      <c r="G143" s="28" t="s">
        <v>0</v>
      </c>
      <c r="H143" s="28" t="s">
        <v>0</v>
      </c>
      <c r="I143" s="28" t="s">
        <v>0</v>
      </c>
      <c r="J143" s="44" t="s">
        <v>0</v>
      </c>
      <c r="K143" s="44" t="s">
        <v>0</v>
      </c>
      <c r="L143" s="43">
        <f>IF(C143="","",SUM(G143:K143))</f>
      </c>
      <c r="M143" s="43">
        <f>IF(C143="","",IF(NOT(OR(C143="Squat",C143="Bench Press",C143="Deadlift",C143="Overhead Press",C143="Power Clean",C143="Light Squat")),30,IF(OR(C143="Squat",C143="Bench Press",C143="Overhead Press",C143="Light Squat"),15,IF(C143="Deadlift",5,IF(C143="Power Clean",15,0)))))</f>
      </c>
      <c r="N143" s="43">
        <f>IF(C143="","",IF(NOT(OR(C143="Squat",C143="Bench Press",C143="Deadlift",C143="Overhead Press",C143="Power Clean",C143="Light Squat")),"—",IF(L143&gt;=M143,"OK","STALL")))</f>
      </c>
      <c r="O143" s="43" t="s">
        <v>0</v>
      </c>
      <c r="P143" s="43">
        <f>IF($C143="Squat",$F143,0)</f>
      </c>
      <c r="Q143" s="43">
        <f>IF($C143="Bench Press",$F143,0)</f>
      </c>
      <c r="R143" s="43">
        <f>IF($C143="Deadlift",$F143,0)</f>
      </c>
      <c r="S143" s="43">
        <f>IF($C143="Overhead Press",$F143,0)</f>
      </c>
      <c r="T143" s="43">
        <f>IF($C143="Power Clean",$F143,0)</f>
      </c>
    </row>
    <row r="144" spans="1:20" x14ac:dyDescent="0.25">
      <c r="A144" s="28" t="s">
        <v>0</v>
      </c>
      <c r="B144" s="28" t="s">
        <v>0</v>
      </c>
      <c r="C144" s="28" t="s">
        <v>0</v>
      </c>
      <c r="D144" s="43">
        <f>IF(C144="","",IF(OR(C144="Squat",C144="Bench Press",C144="Overhead Press",C144="Light Squat"),"3x5",IF(C144="Deadlift","1x5",IF(C144="Power Clean","5x3","3x10"))))</f>
      </c>
      <c r="E144" s="43">
        <f>IF(C144="","",IF(NOT(OR(C144="Squat",C144="Bench Press",C144="Deadlift",C144="Overhead Press",C144="Power Clean",C144="Light Squat")),"—",IF(C144="Light Squat",IF(COUNTIF(C$10:C143,"Light Squat")=0,ROUND(SUMPRODUCT(MAX((C$10:C143="Squat")*(N$10:N143="OK")*(F$10:F143)))*Settings!$B$37/100/5,0)*5,IF(SUMPRODUCT((C$10:C143="Light Squat")*(N$10:N143="OK")*1)=0,ROUND(SUMPRODUCT(MAX((C$10:C143="Squat")*(N$10:N143="OK")*(F$10:F143)))*Settings!$B$37/100/5,0)*5,SUMPRODUCT(MAX((C$10:C143="Light Squat")*(N$10:N143="OK")*(F$10:F143)))+Settings!$B$38)),IF(SUMPRODUCT((C$10:C143=C144)*(N$10:N143="OK")*1)=0,IF(C144="Squat",Settings!$B$5,IF(C144="Bench Press",Settings!$B$6,IF(C144="Deadlift",Settings!$B$7,IF(C144="Overhead Press",Settings!$B$8,IF(C144="Power Clean",Settings!$B$9,0))))),SUMPRODUCT(MAX((C$10:C143=C144)*(N$10:N143="OK")*(F$10:F143)))+IF(C144="Squat",Settings!$B$12,IF(C144="Bench Press",Settings!$B$13,IF(C144="Deadlift",Settings!$B$14,IF(C144="Overhead Press",Settings!$B$15,IF(C144="Power Clean",Settings!$B$16,0)))))))))</f>
      </c>
      <c r="F144" s="28" t="s">
        <v>0</v>
      </c>
      <c r="G144" s="28" t="s">
        <v>0</v>
      </c>
      <c r="H144" s="28" t="s">
        <v>0</v>
      </c>
      <c r="I144" s="28" t="s">
        <v>0</v>
      </c>
      <c r="J144" s="44" t="s">
        <v>0</v>
      </c>
      <c r="K144" s="44" t="s">
        <v>0</v>
      </c>
      <c r="L144" s="43">
        <f>IF(C144="","",SUM(G144:K144))</f>
      </c>
      <c r="M144" s="43">
        <f>IF(C144="","",IF(NOT(OR(C144="Squat",C144="Bench Press",C144="Deadlift",C144="Overhead Press",C144="Power Clean",C144="Light Squat")),30,IF(OR(C144="Squat",C144="Bench Press",C144="Overhead Press",C144="Light Squat"),15,IF(C144="Deadlift",5,IF(C144="Power Clean",15,0)))))</f>
      </c>
      <c r="N144" s="43">
        <f>IF(C144="","",IF(NOT(OR(C144="Squat",C144="Bench Press",C144="Deadlift",C144="Overhead Press",C144="Power Clean",C144="Light Squat")),"—",IF(L144&gt;=M144,"OK","STALL")))</f>
      </c>
      <c r="O144" s="43" t="s">
        <v>0</v>
      </c>
      <c r="P144" s="43">
        <f>IF($C144="Squat",$F144,0)</f>
      </c>
      <c r="Q144" s="43">
        <f>IF($C144="Bench Press",$F144,0)</f>
      </c>
      <c r="R144" s="43">
        <f>IF($C144="Deadlift",$F144,0)</f>
      </c>
      <c r="S144" s="43">
        <f>IF($C144="Overhead Press",$F144,0)</f>
      </c>
      <c r="T144" s="43">
        <f>IF($C144="Power Clean",$F144,0)</f>
      </c>
    </row>
    <row r="145" spans="1:20" x14ac:dyDescent="0.25">
      <c r="A145" s="28" t="s">
        <v>0</v>
      </c>
      <c r="B145" s="28" t="s">
        <v>0</v>
      </c>
      <c r="C145" s="28" t="s">
        <v>0</v>
      </c>
      <c r="D145" s="43">
        <f>IF(C145="","",IF(OR(C145="Squat",C145="Bench Press",C145="Overhead Press",C145="Light Squat"),"3x5",IF(C145="Deadlift","1x5",IF(C145="Power Clean","5x3","3x10"))))</f>
      </c>
      <c r="E145" s="43">
        <f>IF(C145="","",IF(NOT(OR(C145="Squat",C145="Bench Press",C145="Deadlift",C145="Overhead Press",C145="Power Clean",C145="Light Squat")),"—",IF(C145="Light Squat",IF(COUNTIF(C$10:C144,"Light Squat")=0,ROUND(SUMPRODUCT(MAX((C$10:C144="Squat")*(N$10:N144="OK")*(F$10:F144)))*Settings!$B$37/100/5,0)*5,IF(SUMPRODUCT((C$10:C144="Light Squat")*(N$10:N144="OK")*1)=0,ROUND(SUMPRODUCT(MAX((C$10:C144="Squat")*(N$10:N144="OK")*(F$10:F144)))*Settings!$B$37/100/5,0)*5,SUMPRODUCT(MAX((C$10:C144="Light Squat")*(N$10:N144="OK")*(F$10:F144)))+Settings!$B$38)),IF(SUMPRODUCT((C$10:C144=C145)*(N$10:N144="OK")*1)=0,IF(C145="Squat",Settings!$B$5,IF(C145="Bench Press",Settings!$B$6,IF(C145="Deadlift",Settings!$B$7,IF(C145="Overhead Press",Settings!$B$8,IF(C145="Power Clean",Settings!$B$9,0))))),SUMPRODUCT(MAX((C$10:C144=C145)*(N$10:N144="OK")*(F$10:F144)))+IF(C145="Squat",Settings!$B$12,IF(C145="Bench Press",Settings!$B$13,IF(C145="Deadlift",Settings!$B$14,IF(C145="Overhead Press",Settings!$B$15,IF(C145="Power Clean",Settings!$B$16,0)))))))))</f>
      </c>
      <c r="F145" s="28" t="s">
        <v>0</v>
      </c>
      <c r="G145" s="28" t="s">
        <v>0</v>
      </c>
      <c r="H145" s="28" t="s">
        <v>0</v>
      </c>
      <c r="I145" s="28" t="s">
        <v>0</v>
      </c>
      <c r="J145" s="44" t="s">
        <v>0</v>
      </c>
      <c r="K145" s="44" t="s">
        <v>0</v>
      </c>
      <c r="L145" s="43">
        <f>IF(C145="","",SUM(G145:K145))</f>
      </c>
      <c r="M145" s="43">
        <f>IF(C145="","",IF(NOT(OR(C145="Squat",C145="Bench Press",C145="Deadlift",C145="Overhead Press",C145="Power Clean",C145="Light Squat")),30,IF(OR(C145="Squat",C145="Bench Press",C145="Overhead Press",C145="Light Squat"),15,IF(C145="Deadlift",5,IF(C145="Power Clean",15,0)))))</f>
      </c>
      <c r="N145" s="43">
        <f>IF(C145="","",IF(NOT(OR(C145="Squat",C145="Bench Press",C145="Deadlift",C145="Overhead Press",C145="Power Clean",C145="Light Squat")),"—",IF(L145&gt;=M145,"OK","STALL")))</f>
      </c>
      <c r="O145" s="43" t="s">
        <v>0</v>
      </c>
      <c r="P145" s="43">
        <f>IF($C145="Squat",$F145,0)</f>
      </c>
      <c r="Q145" s="43">
        <f>IF($C145="Bench Press",$F145,0)</f>
      </c>
      <c r="R145" s="43">
        <f>IF($C145="Deadlift",$F145,0)</f>
      </c>
      <c r="S145" s="43">
        <f>IF($C145="Overhead Press",$F145,0)</f>
      </c>
      <c r="T145" s="43">
        <f>IF($C145="Power Clean",$F145,0)</f>
      </c>
    </row>
    <row r="146" spans="1:20" x14ac:dyDescent="0.25">
      <c r="A146" s="28" t="s">
        <v>0</v>
      </c>
      <c r="B146" s="28" t="s">
        <v>0</v>
      </c>
      <c r="C146" s="28" t="s">
        <v>0</v>
      </c>
      <c r="D146" s="43">
        <f>IF(C146="","",IF(OR(C146="Squat",C146="Bench Press",C146="Overhead Press",C146="Light Squat"),"3x5",IF(C146="Deadlift","1x5",IF(C146="Power Clean","5x3","3x10"))))</f>
      </c>
      <c r="E146" s="43">
        <f>IF(C146="","",IF(NOT(OR(C146="Squat",C146="Bench Press",C146="Deadlift",C146="Overhead Press",C146="Power Clean",C146="Light Squat")),"—",IF(C146="Light Squat",IF(COUNTIF(C$10:C145,"Light Squat")=0,ROUND(SUMPRODUCT(MAX((C$10:C145="Squat")*(N$10:N145="OK")*(F$10:F145)))*Settings!$B$37/100/5,0)*5,IF(SUMPRODUCT((C$10:C145="Light Squat")*(N$10:N145="OK")*1)=0,ROUND(SUMPRODUCT(MAX((C$10:C145="Squat")*(N$10:N145="OK")*(F$10:F145)))*Settings!$B$37/100/5,0)*5,SUMPRODUCT(MAX((C$10:C145="Light Squat")*(N$10:N145="OK")*(F$10:F145)))+Settings!$B$38)),IF(SUMPRODUCT((C$10:C145=C146)*(N$10:N145="OK")*1)=0,IF(C146="Squat",Settings!$B$5,IF(C146="Bench Press",Settings!$B$6,IF(C146="Deadlift",Settings!$B$7,IF(C146="Overhead Press",Settings!$B$8,IF(C146="Power Clean",Settings!$B$9,0))))),SUMPRODUCT(MAX((C$10:C145=C146)*(N$10:N145="OK")*(F$10:F145)))+IF(C146="Squat",Settings!$B$12,IF(C146="Bench Press",Settings!$B$13,IF(C146="Deadlift",Settings!$B$14,IF(C146="Overhead Press",Settings!$B$15,IF(C146="Power Clean",Settings!$B$16,0)))))))))</f>
      </c>
      <c r="F146" s="28" t="s">
        <v>0</v>
      </c>
      <c r="G146" s="28" t="s">
        <v>0</v>
      </c>
      <c r="H146" s="28" t="s">
        <v>0</v>
      </c>
      <c r="I146" s="28" t="s">
        <v>0</v>
      </c>
      <c r="J146" s="44" t="s">
        <v>0</v>
      </c>
      <c r="K146" s="44" t="s">
        <v>0</v>
      </c>
      <c r="L146" s="43">
        <f>IF(C146="","",SUM(G146:K146))</f>
      </c>
      <c r="M146" s="43">
        <f>IF(C146="","",IF(NOT(OR(C146="Squat",C146="Bench Press",C146="Deadlift",C146="Overhead Press",C146="Power Clean",C146="Light Squat")),30,IF(OR(C146="Squat",C146="Bench Press",C146="Overhead Press",C146="Light Squat"),15,IF(C146="Deadlift",5,IF(C146="Power Clean",15,0)))))</f>
      </c>
      <c r="N146" s="43">
        <f>IF(C146="","",IF(NOT(OR(C146="Squat",C146="Bench Press",C146="Deadlift",C146="Overhead Press",C146="Power Clean",C146="Light Squat")),"—",IF(L146&gt;=M146,"OK","STALL")))</f>
      </c>
      <c r="O146" s="43" t="s">
        <v>0</v>
      </c>
      <c r="P146" s="43">
        <f>IF($C146="Squat",$F146,0)</f>
      </c>
      <c r="Q146" s="43">
        <f>IF($C146="Bench Press",$F146,0)</f>
      </c>
      <c r="R146" s="43">
        <f>IF($C146="Deadlift",$F146,0)</f>
      </c>
      <c r="S146" s="43">
        <f>IF($C146="Overhead Press",$F146,0)</f>
      </c>
      <c r="T146" s="43">
        <f>IF($C146="Power Clean",$F146,0)</f>
      </c>
    </row>
    <row r="147" spans="1:20" x14ac:dyDescent="0.25">
      <c r="A147" s="28" t="s">
        <v>0</v>
      </c>
      <c r="B147" s="28" t="s">
        <v>0</v>
      </c>
      <c r="C147" s="28" t="s">
        <v>0</v>
      </c>
      <c r="D147" s="43">
        <f>IF(C147="","",IF(OR(C147="Squat",C147="Bench Press",C147="Overhead Press",C147="Light Squat"),"3x5",IF(C147="Deadlift","1x5",IF(C147="Power Clean","5x3","3x10"))))</f>
      </c>
      <c r="E147" s="43">
        <f>IF(C147="","",IF(NOT(OR(C147="Squat",C147="Bench Press",C147="Deadlift",C147="Overhead Press",C147="Power Clean",C147="Light Squat")),"—",IF(C147="Light Squat",IF(COUNTIF(C$10:C146,"Light Squat")=0,ROUND(SUMPRODUCT(MAX((C$10:C146="Squat")*(N$10:N146="OK")*(F$10:F146)))*Settings!$B$37/100/5,0)*5,IF(SUMPRODUCT((C$10:C146="Light Squat")*(N$10:N146="OK")*1)=0,ROUND(SUMPRODUCT(MAX((C$10:C146="Squat")*(N$10:N146="OK")*(F$10:F146)))*Settings!$B$37/100/5,0)*5,SUMPRODUCT(MAX((C$10:C146="Light Squat")*(N$10:N146="OK")*(F$10:F146)))+Settings!$B$38)),IF(SUMPRODUCT((C$10:C146=C147)*(N$10:N146="OK")*1)=0,IF(C147="Squat",Settings!$B$5,IF(C147="Bench Press",Settings!$B$6,IF(C147="Deadlift",Settings!$B$7,IF(C147="Overhead Press",Settings!$B$8,IF(C147="Power Clean",Settings!$B$9,0))))),SUMPRODUCT(MAX((C$10:C146=C147)*(N$10:N146="OK")*(F$10:F146)))+IF(C147="Squat",Settings!$B$12,IF(C147="Bench Press",Settings!$B$13,IF(C147="Deadlift",Settings!$B$14,IF(C147="Overhead Press",Settings!$B$15,IF(C147="Power Clean",Settings!$B$16,0)))))))))</f>
      </c>
      <c r="F147" s="28" t="s">
        <v>0</v>
      </c>
      <c r="G147" s="28" t="s">
        <v>0</v>
      </c>
      <c r="H147" s="28" t="s">
        <v>0</v>
      </c>
      <c r="I147" s="28" t="s">
        <v>0</v>
      </c>
      <c r="J147" s="44" t="s">
        <v>0</v>
      </c>
      <c r="K147" s="44" t="s">
        <v>0</v>
      </c>
      <c r="L147" s="43">
        <f>IF(C147="","",SUM(G147:K147))</f>
      </c>
      <c r="M147" s="43">
        <f>IF(C147="","",IF(NOT(OR(C147="Squat",C147="Bench Press",C147="Deadlift",C147="Overhead Press",C147="Power Clean",C147="Light Squat")),30,IF(OR(C147="Squat",C147="Bench Press",C147="Overhead Press",C147="Light Squat"),15,IF(C147="Deadlift",5,IF(C147="Power Clean",15,0)))))</f>
      </c>
      <c r="N147" s="43">
        <f>IF(C147="","",IF(NOT(OR(C147="Squat",C147="Bench Press",C147="Deadlift",C147="Overhead Press",C147="Power Clean",C147="Light Squat")),"—",IF(L147&gt;=M147,"OK","STALL")))</f>
      </c>
      <c r="O147" s="43" t="s">
        <v>0</v>
      </c>
      <c r="P147" s="43">
        <f>IF($C147="Squat",$F147,0)</f>
      </c>
      <c r="Q147" s="43">
        <f>IF($C147="Bench Press",$F147,0)</f>
      </c>
      <c r="R147" s="43">
        <f>IF($C147="Deadlift",$F147,0)</f>
      </c>
      <c r="S147" s="43">
        <f>IF($C147="Overhead Press",$F147,0)</f>
      </c>
      <c r="T147" s="43">
        <f>IF($C147="Power Clean",$F147,0)</f>
      </c>
    </row>
    <row r="148" spans="1:20" x14ac:dyDescent="0.25">
      <c r="A148" s="28" t="s">
        <v>0</v>
      </c>
      <c r="B148" s="28" t="s">
        <v>0</v>
      </c>
      <c r="C148" s="28" t="s">
        <v>0</v>
      </c>
      <c r="D148" s="43">
        <f>IF(C148="","",IF(OR(C148="Squat",C148="Bench Press",C148="Overhead Press",C148="Light Squat"),"3x5",IF(C148="Deadlift","1x5",IF(C148="Power Clean","5x3","3x10"))))</f>
      </c>
      <c r="E148" s="43">
        <f>IF(C148="","",IF(NOT(OR(C148="Squat",C148="Bench Press",C148="Deadlift",C148="Overhead Press",C148="Power Clean",C148="Light Squat")),"—",IF(C148="Light Squat",IF(COUNTIF(C$10:C147,"Light Squat")=0,ROUND(SUMPRODUCT(MAX((C$10:C147="Squat")*(N$10:N147="OK")*(F$10:F147)))*Settings!$B$37/100/5,0)*5,IF(SUMPRODUCT((C$10:C147="Light Squat")*(N$10:N147="OK")*1)=0,ROUND(SUMPRODUCT(MAX((C$10:C147="Squat")*(N$10:N147="OK")*(F$10:F147)))*Settings!$B$37/100/5,0)*5,SUMPRODUCT(MAX((C$10:C147="Light Squat")*(N$10:N147="OK")*(F$10:F147)))+Settings!$B$38)),IF(SUMPRODUCT((C$10:C147=C148)*(N$10:N147="OK")*1)=0,IF(C148="Squat",Settings!$B$5,IF(C148="Bench Press",Settings!$B$6,IF(C148="Deadlift",Settings!$B$7,IF(C148="Overhead Press",Settings!$B$8,IF(C148="Power Clean",Settings!$B$9,0))))),SUMPRODUCT(MAX((C$10:C147=C148)*(N$10:N147="OK")*(F$10:F147)))+IF(C148="Squat",Settings!$B$12,IF(C148="Bench Press",Settings!$B$13,IF(C148="Deadlift",Settings!$B$14,IF(C148="Overhead Press",Settings!$B$15,IF(C148="Power Clean",Settings!$B$16,0)))))))))</f>
      </c>
      <c r="F148" s="28" t="s">
        <v>0</v>
      </c>
      <c r="G148" s="28" t="s">
        <v>0</v>
      </c>
      <c r="H148" s="28" t="s">
        <v>0</v>
      </c>
      <c r="I148" s="28" t="s">
        <v>0</v>
      </c>
      <c r="J148" s="44" t="s">
        <v>0</v>
      </c>
      <c r="K148" s="44" t="s">
        <v>0</v>
      </c>
      <c r="L148" s="43">
        <f>IF(C148="","",SUM(G148:K148))</f>
      </c>
      <c r="M148" s="43">
        <f>IF(C148="","",IF(NOT(OR(C148="Squat",C148="Bench Press",C148="Deadlift",C148="Overhead Press",C148="Power Clean",C148="Light Squat")),30,IF(OR(C148="Squat",C148="Bench Press",C148="Overhead Press",C148="Light Squat"),15,IF(C148="Deadlift",5,IF(C148="Power Clean",15,0)))))</f>
      </c>
      <c r="N148" s="43">
        <f>IF(C148="","",IF(NOT(OR(C148="Squat",C148="Bench Press",C148="Deadlift",C148="Overhead Press",C148="Power Clean",C148="Light Squat")),"—",IF(L148&gt;=M148,"OK","STALL")))</f>
      </c>
      <c r="O148" s="43" t="s">
        <v>0</v>
      </c>
      <c r="P148" s="43">
        <f>IF($C148="Squat",$F148,0)</f>
      </c>
      <c r="Q148" s="43">
        <f>IF($C148="Bench Press",$F148,0)</f>
      </c>
      <c r="R148" s="43">
        <f>IF($C148="Deadlift",$F148,0)</f>
      </c>
      <c r="S148" s="43">
        <f>IF($C148="Overhead Press",$F148,0)</f>
      </c>
      <c r="T148" s="43">
        <f>IF($C148="Power Clean",$F148,0)</f>
      </c>
    </row>
    <row r="149" spans="1:20" x14ac:dyDescent="0.25">
      <c r="A149" s="28" t="s">
        <v>0</v>
      </c>
      <c r="B149" s="28" t="s">
        <v>0</v>
      </c>
      <c r="C149" s="28" t="s">
        <v>0</v>
      </c>
      <c r="D149" s="43">
        <f>IF(C149="","",IF(OR(C149="Squat",C149="Bench Press",C149="Overhead Press",C149="Light Squat"),"3x5",IF(C149="Deadlift","1x5",IF(C149="Power Clean","5x3","3x10"))))</f>
      </c>
      <c r="E149" s="43">
        <f>IF(C149="","",IF(NOT(OR(C149="Squat",C149="Bench Press",C149="Deadlift",C149="Overhead Press",C149="Power Clean",C149="Light Squat")),"—",IF(C149="Light Squat",IF(COUNTIF(C$10:C148,"Light Squat")=0,ROUND(SUMPRODUCT(MAX((C$10:C148="Squat")*(N$10:N148="OK")*(F$10:F148)))*Settings!$B$37/100/5,0)*5,IF(SUMPRODUCT((C$10:C148="Light Squat")*(N$10:N148="OK")*1)=0,ROUND(SUMPRODUCT(MAX((C$10:C148="Squat")*(N$10:N148="OK")*(F$10:F148)))*Settings!$B$37/100/5,0)*5,SUMPRODUCT(MAX((C$10:C148="Light Squat")*(N$10:N148="OK")*(F$10:F148)))+Settings!$B$38)),IF(SUMPRODUCT((C$10:C148=C149)*(N$10:N148="OK")*1)=0,IF(C149="Squat",Settings!$B$5,IF(C149="Bench Press",Settings!$B$6,IF(C149="Deadlift",Settings!$B$7,IF(C149="Overhead Press",Settings!$B$8,IF(C149="Power Clean",Settings!$B$9,0))))),SUMPRODUCT(MAX((C$10:C148=C149)*(N$10:N148="OK")*(F$10:F148)))+IF(C149="Squat",Settings!$B$12,IF(C149="Bench Press",Settings!$B$13,IF(C149="Deadlift",Settings!$B$14,IF(C149="Overhead Press",Settings!$B$15,IF(C149="Power Clean",Settings!$B$16,0)))))))))</f>
      </c>
      <c r="F149" s="28" t="s">
        <v>0</v>
      </c>
      <c r="G149" s="28" t="s">
        <v>0</v>
      </c>
      <c r="H149" s="28" t="s">
        <v>0</v>
      </c>
      <c r="I149" s="28" t="s">
        <v>0</v>
      </c>
      <c r="J149" s="44" t="s">
        <v>0</v>
      </c>
      <c r="K149" s="44" t="s">
        <v>0</v>
      </c>
      <c r="L149" s="43">
        <f>IF(C149="","",SUM(G149:K149))</f>
      </c>
      <c r="M149" s="43">
        <f>IF(C149="","",IF(NOT(OR(C149="Squat",C149="Bench Press",C149="Deadlift",C149="Overhead Press",C149="Power Clean",C149="Light Squat")),30,IF(OR(C149="Squat",C149="Bench Press",C149="Overhead Press",C149="Light Squat"),15,IF(C149="Deadlift",5,IF(C149="Power Clean",15,0)))))</f>
      </c>
      <c r="N149" s="43">
        <f>IF(C149="","",IF(NOT(OR(C149="Squat",C149="Bench Press",C149="Deadlift",C149="Overhead Press",C149="Power Clean",C149="Light Squat")),"—",IF(L149&gt;=M149,"OK","STALL")))</f>
      </c>
      <c r="O149" s="43" t="s">
        <v>0</v>
      </c>
      <c r="P149" s="43">
        <f>IF($C149="Squat",$F149,0)</f>
      </c>
      <c r="Q149" s="43">
        <f>IF($C149="Bench Press",$F149,0)</f>
      </c>
      <c r="R149" s="43">
        <f>IF($C149="Deadlift",$F149,0)</f>
      </c>
      <c r="S149" s="43">
        <f>IF($C149="Overhead Press",$F149,0)</f>
      </c>
      <c r="T149" s="43">
        <f>IF($C149="Power Clean",$F149,0)</f>
      </c>
    </row>
    <row r="150" spans="1:20" x14ac:dyDescent="0.25">
      <c r="A150" s="28" t="s">
        <v>0</v>
      </c>
      <c r="B150" s="28" t="s">
        <v>0</v>
      </c>
      <c r="C150" s="28" t="s">
        <v>0</v>
      </c>
      <c r="D150" s="43">
        <f>IF(C150="","",IF(OR(C150="Squat",C150="Bench Press",C150="Overhead Press",C150="Light Squat"),"3x5",IF(C150="Deadlift","1x5",IF(C150="Power Clean","5x3","3x10"))))</f>
      </c>
      <c r="E150" s="43">
        <f>IF(C150="","",IF(NOT(OR(C150="Squat",C150="Bench Press",C150="Deadlift",C150="Overhead Press",C150="Power Clean",C150="Light Squat")),"—",IF(C150="Light Squat",IF(COUNTIF(C$10:C149,"Light Squat")=0,ROUND(SUMPRODUCT(MAX((C$10:C149="Squat")*(N$10:N149="OK")*(F$10:F149)))*Settings!$B$37/100/5,0)*5,IF(SUMPRODUCT((C$10:C149="Light Squat")*(N$10:N149="OK")*1)=0,ROUND(SUMPRODUCT(MAX((C$10:C149="Squat")*(N$10:N149="OK")*(F$10:F149)))*Settings!$B$37/100/5,0)*5,SUMPRODUCT(MAX((C$10:C149="Light Squat")*(N$10:N149="OK")*(F$10:F149)))+Settings!$B$38)),IF(SUMPRODUCT((C$10:C149=C150)*(N$10:N149="OK")*1)=0,IF(C150="Squat",Settings!$B$5,IF(C150="Bench Press",Settings!$B$6,IF(C150="Deadlift",Settings!$B$7,IF(C150="Overhead Press",Settings!$B$8,IF(C150="Power Clean",Settings!$B$9,0))))),SUMPRODUCT(MAX((C$10:C149=C150)*(N$10:N149="OK")*(F$10:F149)))+IF(C150="Squat",Settings!$B$12,IF(C150="Bench Press",Settings!$B$13,IF(C150="Deadlift",Settings!$B$14,IF(C150="Overhead Press",Settings!$B$15,IF(C150="Power Clean",Settings!$B$16,0)))))))))</f>
      </c>
      <c r="F150" s="28" t="s">
        <v>0</v>
      </c>
      <c r="G150" s="28" t="s">
        <v>0</v>
      </c>
      <c r="H150" s="28" t="s">
        <v>0</v>
      </c>
      <c r="I150" s="28" t="s">
        <v>0</v>
      </c>
      <c r="J150" s="44" t="s">
        <v>0</v>
      </c>
      <c r="K150" s="44" t="s">
        <v>0</v>
      </c>
      <c r="L150" s="43">
        <f>IF(C150="","",SUM(G150:K150))</f>
      </c>
      <c r="M150" s="43">
        <f>IF(C150="","",IF(NOT(OR(C150="Squat",C150="Bench Press",C150="Deadlift",C150="Overhead Press",C150="Power Clean",C150="Light Squat")),30,IF(OR(C150="Squat",C150="Bench Press",C150="Overhead Press",C150="Light Squat"),15,IF(C150="Deadlift",5,IF(C150="Power Clean",15,0)))))</f>
      </c>
      <c r="N150" s="43">
        <f>IF(C150="","",IF(NOT(OR(C150="Squat",C150="Bench Press",C150="Deadlift",C150="Overhead Press",C150="Power Clean",C150="Light Squat")),"—",IF(L150&gt;=M150,"OK","STALL")))</f>
      </c>
      <c r="O150" s="43" t="s">
        <v>0</v>
      </c>
      <c r="P150" s="43">
        <f>IF($C150="Squat",$F150,0)</f>
      </c>
      <c r="Q150" s="43">
        <f>IF($C150="Bench Press",$F150,0)</f>
      </c>
      <c r="R150" s="43">
        <f>IF($C150="Deadlift",$F150,0)</f>
      </c>
      <c r="S150" s="43">
        <f>IF($C150="Overhead Press",$F150,0)</f>
      </c>
      <c r="T150" s="43">
        <f>IF($C150="Power Clean",$F150,0)</f>
      </c>
    </row>
    <row r="151" spans="1:20" x14ac:dyDescent="0.25">
      <c r="A151" s="28" t="s">
        <v>0</v>
      </c>
      <c r="B151" s="28" t="s">
        <v>0</v>
      </c>
      <c r="C151" s="28" t="s">
        <v>0</v>
      </c>
      <c r="D151" s="43">
        <f>IF(C151="","",IF(OR(C151="Squat",C151="Bench Press",C151="Overhead Press",C151="Light Squat"),"3x5",IF(C151="Deadlift","1x5",IF(C151="Power Clean","5x3","3x10"))))</f>
      </c>
      <c r="E151" s="43">
        <f>IF(C151="","",IF(NOT(OR(C151="Squat",C151="Bench Press",C151="Deadlift",C151="Overhead Press",C151="Power Clean",C151="Light Squat")),"—",IF(C151="Light Squat",IF(COUNTIF(C$10:C150,"Light Squat")=0,ROUND(SUMPRODUCT(MAX((C$10:C150="Squat")*(N$10:N150="OK")*(F$10:F150)))*Settings!$B$37/100/5,0)*5,IF(SUMPRODUCT((C$10:C150="Light Squat")*(N$10:N150="OK")*1)=0,ROUND(SUMPRODUCT(MAX((C$10:C150="Squat")*(N$10:N150="OK")*(F$10:F150)))*Settings!$B$37/100/5,0)*5,SUMPRODUCT(MAX((C$10:C150="Light Squat")*(N$10:N150="OK")*(F$10:F150)))+Settings!$B$38)),IF(SUMPRODUCT((C$10:C150=C151)*(N$10:N150="OK")*1)=0,IF(C151="Squat",Settings!$B$5,IF(C151="Bench Press",Settings!$B$6,IF(C151="Deadlift",Settings!$B$7,IF(C151="Overhead Press",Settings!$B$8,IF(C151="Power Clean",Settings!$B$9,0))))),SUMPRODUCT(MAX((C$10:C150=C151)*(N$10:N150="OK")*(F$10:F150)))+IF(C151="Squat",Settings!$B$12,IF(C151="Bench Press",Settings!$B$13,IF(C151="Deadlift",Settings!$B$14,IF(C151="Overhead Press",Settings!$B$15,IF(C151="Power Clean",Settings!$B$16,0)))))))))</f>
      </c>
      <c r="F151" s="28" t="s">
        <v>0</v>
      </c>
      <c r="G151" s="28" t="s">
        <v>0</v>
      </c>
      <c r="H151" s="28" t="s">
        <v>0</v>
      </c>
      <c r="I151" s="28" t="s">
        <v>0</v>
      </c>
      <c r="J151" s="44" t="s">
        <v>0</v>
      </c>
      <c r="K151" s="44" t="s">
        <v>0</v>
      </c>
      <c r="L151" s="43">
        <f>IF(C151="","",SUM(G151:K151))</f>
      </c>
      <c r="M151" s="43">
        <f>IF(C151="","",IF(NOT(OR(C151="Squat",C151="Bench Press",C151="Deadlift",C151="Overhead Press",C151="Power Clean",C151="Light Squat")),30,IF(OR(C151="Squat",C151="Bench Press",C151="Overhead Press",C151="Light Squat"),15,IF(C151="Deadlift",5,IF(C151="Power Clean",15,0)))))</f>
      </c>
      <c r="N151" s="43">
        <f>IF(C151="","",IF(NOT(OR(C151="Squat",C151="Bench Press",C151="Deadlift",C151="Overhead Press",C151="Power Clean",C151="Light Squat")),"—",IF(L151&gt;=M151,"OK","STALL")))</f>
      </c>
      <c r="O151" s="43" t="s">
        <v>0</v>
      </c>
      <c r="P151" s="43">
        <f>IF($C151="Squat",$F151,0)</f>
      </c>
      <c r="Q151" s="43">
        <f>IF($C151="Bench Press",$F151,0)</f>
      </c>
      <c r="R151" s="43">
        <f>IF($C151="Deadlift",$F151,0)</f>
      </c>
      <c r="S151" s="43">
        <f>IF($C151="Overhead Press",$F151,0)</f>
      </c>
      <c r="T151" s="43">
        <f>IF($C151="Power Clean",$F151,0)</f>
      </c>
    </row>
    <row r="152" spans="1:20" x14ac:dyDescent="0.25">
      <c r="A152" s="28" t="s">
        <v>0</v>
      </c>
      <c r="B152" s="28" t="s">
        <v>0</v>
      </c>
      <c r="C152" s="28" t="s">
        <v>0</v>
      </c>
      <c r="D152" s="43">
        <f>IF(C152="","",IF(OR(C152="Squat",C152="Bench Press",C152="Overhead Press",C152="Light Squat"),"3x5",IF(C152="Deadlift","1x5",IF(C152="Power Clean","5x3","3x10"))))</f>
      </c>
      <c r="E152" s="43">
        <f>IF(C152="","",IF(NOT(OR(C152="Squat",C152="Bench Press",C152="Deadlift",C152="Overhead Press",C152="Power Clean",C152="Light Squat")),"—",IF(C152="Light Squat",IF(COUNTIF(C$10:C151,"Light Squat")=0,ROUND(SUMPRODUCT(MAX((C$10:C151="Squat")*(N$10:N151="OK")*(F$10:F151)))*Settings!$B$37/100/5,0)*5,IF(SUMPRODUCT((C$10:C151="Light Squat")*(N$10:N151="OK")*1)=0,ROUND(SUMPRODUCT(MAX((C$10:C151="Squat")*(N$10:N151="OK")*(F$10:F151)))*Settings!$B$37/100/5,0)*5,SUMPRODUCT(MAX((C$10:C151="Light Squat")*(N$10:N151="OK")*(F$10:F151)))+Settings!$B$38)),IF(SUMPRODUCT((C$10:C151=C152)*(N$10:N151="OK")*1)=0,IF(C152="Squat",Settings!$B$5,IF(C152="Bench Press",Settings!$B$6,IF(C152="Deadlift",Settings!$B$7,IF(C152="Overhead Press",Settings!$B$8,IF(C152="Power Clean",Settings!$B$9,0))))),SUMPRODUCT(MAX((C$10:C151=C152)*(N$10:N151="OK")*(F$10:F151)))+IF(C152="Squat",Settings!$B$12,IF(C152="Bench Press",Settings!$B$13,IF(C152="Deadlift",Settings!$B$14,IF(C152="Overhead Press",Settings!$B$15,IF(C152="Power Clean",Settings!$B$16,0)))))))))</f>
      </c>
      <c r="F152" s="28" t="s">
        <v>0</v>
      </c>
      <c r="G152" s="28" t="s">
        <v>0</v>
      </c>
      <c r="H152" s="28" t="s">
        <v>0</v>
      </c>
      <c r="I152" s="28" t="s">
        <v>0</v>
      </c>
      <c r="J152" s="44" t="s">
        <v>0</v>
      </c>
      <c r="K152" s="44" t="s">
        <v>0</v>
      </c>
      <c r="L152" s="43">
        <f>IF(C152="","",SUM(G152:K152))</f>
      </c>
      <c r="M152" s="43">
        <f>IF(C152="","",IF(NOT(OR(C152="Squat",C152="Bench Press",C152="Deadlift",C152="Overhead Press",C152="Power Clean",C152="Light Squat")),30,IF(OR(C152="Squat",C152="Bench Press",C152="Overhead Press",C152="Light Squat"),15,IF(C152="Deadlift",5,IF(C152="Power Clean",15,0)))))</f>
      </c>
      <c r="N152" s="43">
        <f>IF(C152="","",IF(NOT(OR(C152="Squat",C152="Bench Press",C152="Deadlift",C152="Overhead Press",C152="Power Clean",C152="Light Squat")),"—",IF(L152&gt;=M152,"OK","STALL")))</f>
      </c>
      <c r="O152" s="43" t="s">
        <v>0</v>
      </c>
      <c r="P152" s="43">
        <f>IF($C152="Squat",$F152,0)</f>
      </c>
      <c r="Q152" s="43">
        <f>IF($C152="Bench Press",$F152,0)</f>
      </c>
      <c r="R152" s="43">
        <f>IF($C152="Deadlift",$F152,0)</f>
      </c>
      <c r="S152" s="43">
        <f>IF($C152="Overhead Press",$F152,0)</f>
      </c>
      <c r="T152" s="43">
        <f>IF($C152="Power Clean",$F152,0)</f>
      </c>
    </row>
    <row r="153" spans="1:20" x14ac:dyDescent="0.25">
      <c r="A153" s="28" t="s">
        <v>0</v>
      </c>
      <c r="B153" s="28" t="s">
        <v>0</v>
      </c>
      <c r="C153" s="28" t="s">
        <v>0</v>
      </c>
      <c r="D153" s="43">
        <f>IF(C153="","",IF(OR(C153="Squat",C153="Bench Press",C153="Overhead Press",C153="Light Squat"),"3x5",IF(C153="Deadlift","1x5",IF(C153="Power Clean","5x3","3x10"))))</f>
      </c>
      <c r="E153" s="43">
        <f>IF(C153="","",IF(NOT(OR(C153="Squat",C153="Bench Press",C153="Deadlift",C153="Overhead Press",C153="Power Clean",C153="Light Squat")),"—",IF(C153="Light Squat",IF(COUNTIF(C$10:C152,"Light Squat")=0,ROUND(SUMPRODUCT(MAX((C$10:C152="Squat")*(N$10:N152="OK")*(F$10:F152)))*Settings!$B$37/100/5,0)*5,IF(SUMPRODUCT((C$10:C152="Light Squat")*(N$10:N152="OK")*1)=0,ROUND(SUMPRODUCT(MAX((C$10:C152="Squat")*(N$10:N152="OK")*(F$10:F152)))*Settings!$B$37/100/5,0)*5,SUMPRODUCT(MAX((C$10:C152="Light Squat")*(N$10:N152="OK")*(F$10:F152)))+Settings!$B$38)),IF(SUMPRODUCT((C$10:C152=C153)*(N$10:N152="OK")*1)=0,IF(C153="Squat",Settings!$B$5,IF(C153="Bench Press",Settings!$B$6,IF(C153="Deadlift",Settings!$B$7,IF(C153="Overhead Press",Settings!$B$8,IF(C153="Power Clean",Settings!$B$9,0))))),SUMPRODUCT(MAX((C$10:C152=C153)*(N$10:N152="OK")*(F$10:F152)))+IF(C153="Squat",Settings!$B$12,IF(C153="Bench Press",Settings!$B$13,IF(C153="Deadlift",Settings!$B$14,IF(C153="Overhead Press",Settings!$B$15,IF(C153="Power Clean",Settings!$B$16,0)))))))))</f>
      </c>
      <c r="F153" s="28" t="s">
        <v>0</v>
      </c>
      <c r="G153" s="28" t="s">
        <v>0</v>
      </c>
      <c r="H153" s="28" t="s">
        <v>0</v>
      </c>
      <c r="I153" s="28" t="s">
        <v>0</v>
      </c>
      <c r="J153" s="44" t="s">
        <v>0</v>
      </c>
      <c r="K153" s="44" t="s">
        <v>0</v>
      </c>
      <c r="L153" s="43">
        <f>IF(C153="","",SUM(G153:K153))</f>
      </c>
      <c r="M153" s="43">
        <f>IF(C153="","",IF(NOT(OR(C153="Squat",C153="Bench Press",C153="Deadlift",C153="Overhead Press",C153="Power Clean",C153="Light Squat")),30,IF(OR(C153="Squat",C153="Bench Press",C153="Overhead Press",C153="Light Squat"),15,IF(C153="Deadlift",5,IF(C153="Power Clean",15,0)))))</f>
      </c>
      <c r="N153" s="43">
        <f>IF(C153="","",IF(NOT(OR(C153="Squat",C153="Bench Press",C153="Deadlift",C153="Overhead Press",C153="Power Clean",C153="Light Squat")),"—",IF(L153&gt;=M153,"OK","STALL")))</f>
      </c>
      <c r="O153" s="43" t="s">
        <v>0</v>
      </c>
      <c r="P153" s="43">
        <f>IF($C153="Squat",$F153,0)</f>
      </c>
      <c r="Q153" s="43">
        <f>IF($C153="Bench Press",$F153,0)</f>
      </c>
      <c r="R153" s="43">
        <f>IF($C153="Deadlift",$F153,0)</f>
      </c>
      <c r="S153" s="43">
        <f>IF($C153="Overhead Press",$F153,0)</f>
      </c>
      <c r="T153" s="43">
        <f>IF($C153="Power Clean",$F153,0)</f>
      </c>
    </row>
    <row r="154" spans="1:20" x14ac:dyDescent="0.25">
      <c r="A154" s="28" t="s">
        <v>0</v>
      </c>
      <c r="B154" s="28" t="s">
        <v>0</v>
      </c>
      <c r="C154" s="28" t="s">
        <v>0</v>
      </c>
      <c r="D154" s="43">
        <f>IF(C154="","",IF(OR(C154="Squat",C154="Bench Press",C154="Overhead Press",C154="Light Squat"),"3x5",IF(C154="Deadlift","1x5",IF(C154="Power Clean","5x3","3x10"))))</f>
      </c>
      <c r="E154" s="43">
        <f>IF(C154="","",IF(NOT(OR(C154="Squat",C154="Bench Press",C154="Deadlift",C154="Overhead Press",C154="Power Clean",C154="Light Squat")),"—",IF(C154="Light Squat",IF(COUNTIF(C$10:C153,"Light Squat")=0,ROUND(SUMPRODUCT(MAX((C$10:C153="Squat")*(N$10:N153="OK")*(F$10:F153)))*Settings!$B$37/100/5,0)*5,IF(SUMPRODUCT((C$10:C153="Light Squat")*(N$10:N153="OK")*1)=0,ROUND(SUMPRODUCT(MAX((C$10:C153="Squat")*(N$10:N153="OK")*(F$10:F153)))*Settings!$B$37/100/5,0)*5,SUMPRODUCT(MAX((C$10:C153="Light Squat")*(N$10:N153="OK")*(F$10:F153)))+Settings!$B$38)),IF(SUMPRODUCT((C$10:C153=C154)*(N$10:N153="OK")*1)=0,IF(C154="Squat",Settings!$B$5,IF(C154="Bench Press",Settings!$B$6,IF(C154="Deadlift",Settings!$B$7,IF(C154="Overhead Press",Settings!$B$8,IF(C154="Power Clean",Settings!$B$9,0))))),SUMPRODUCT(MAX((C$10:C153=C154)*(N$10:N153="OK")*(F$10:F153)))+IF(C154="Squat",Settings!$B$12,IF(C154="Bench Press",Settings!$B$13,IF(C154="Deadlift",Settings!$B$14,IF(C154="Overhead Press",Settings!$B$15,IF(C154="Power Clean",Settings!$B$16,0)))))))))</f>
      </c>
      <c r="F154" s="28" t="s">
        <v>0</v>
      </c>
      <c r="G154" s="28" t="s">
        <v>0</v>
      </c>
      <c r="H154" s="28" t="s">
        <v>0</v>
      </c>
      <c r="I154" s="28" t="s">
        <v>0</v>
      </c>
      <c r="J154" s="44" t="s">
        <v>0</v>
      </c>
      <c r="K154" s="44" t="s">
        <v>0</v>
      </c>
      <c r="L154" s="43">
        <f>IF(C154="","",SUM(G154:K154))</f>
      </c>
      <c r="M154" s="43">
        <f>IF(C154="","",IF(NOT(OR(C154="Squat",C154="Bench Press",C154="Deadlift",C154="Overhead Press",C154="Power Clean",C154="Light Squat")),30,IF(OR(C154="Squat",C154="Bench Press",C154="Overhead Press",C154="Light Squat"),15,IF(C154="Deadlift",5,IF(C154="Power Clean",15,0)))))</f>
      </c>
      <c r="N154" s="43">
        <f>IF(C154="","",IF(NOT(OR(C154="Squat",C154="Bench Press",C154="Deadlift",C154="Overhead Press",C154="Power Clean",C154="Light Squat")),"—",IF(L154&gt;=M154,"OK","STALL")))</f>
      </c>
      <c r="O154" s="43" t="s">
        <v>0</v>
      </c>
      <c r="P154" s="43">
        <f>IF($C154="Squat",$F154,0)</f>
      </c>
      <c r="Q154" s="43">
        <f>IF($C154="Bench Press",$F154,0)</f>
      </c>
      <c r="R154" s="43">
        <f>IF($C154="Deadlift",$F154,0)</f>
      </c>
      <c r="S154" s="43">
        <f>IF($C154="Overhead Press",$F154,0)</f>
      </c>
      <c r="T154" s="43">
        <f>IF($C154="Power Clean",$F154,0)</f>
      </c>
    </row>
    <row r="155" spans="1:20" x14ac:dyDescent="0.25">
      <c r="A155" s="28" t="s">
        <v>0</v>
      </c>
      <c r="B155" s="28" t="s">
        <v>0</v>
      </c>
      <c r="C155" s="28" t="s">
        <v>0</v>
      </c>
      <c r="D155" s="43">
        <f>IF(C155="","",IF(OR(C155="Squat",C155="Bench Press",C155="Overhead Press",C155="Light Squat"),"3x5",IF(C155="Deadlift","1x5",IF(C155="Power Clean","5x3","3x10"))))</f>
      </c>
      <c r="E155" s="43">
        <f>IF(C155="","",IF(NOT(OR(C155="Squat",C155="Bench Press",C155="Deadlift",C155="Overhead Press",C155="Power Clean",C155="Light Squat")),"—",IF(C155="Light Squat",IF(COUNTIF(C$10:C154,"Light Squat")=0,ROUND(SUMPRODUCT(MAX((C$10:C154="Squat")*(N$10:N154="OK")*(F$10:F154)))*Settings!$B$37/100/5,0)*5,IF(SUMPRODUCT((C$10:C154="Light Squat")*(N$10:N154="OK")*1)=0,ROUND(SUMPRODUCT(MAX((C$10:C154="Squat")*(N$10:N154="OK")*(F$10:F154)))*Settings!$B$37/100/5,0)*5,SUMPRODUCT(MAX((C$10:C154="Light Squat")*(N$10:N154="OK")*(F$10:F154)))+Settings!$B$38)),IF(SUMPRODUCT((C$10:C154=C155)*(N$10:N154="OK")*1)=0,IF(C155="Squat",Settings!$B$5,IF(C155="Bench Press",Settings!$B$6,IF(C155="Deadlift",Settings!$B$7,IF(C155="Overhead Press",Settings!$B$8,IF(C155="Power Clean",Settings!$B$9,0))))),SUMPRODUCT(MAX((C$10:C154=C155)*(N$10:N154="OK")*(F$10:F154)))+IF(C155="Squat",Settings!$B$12,IF(C155="Bench Press",Settings!$B$13,IF(C155="Deadlift",Settings!$B$14,IF(C155="Overhead Press",Settings!$B$15,IF(C155="Power Clean",Settings!$B$16,0)))))))))</f>
      </c>
      <c r="F155" s="28" t="s">
        <v>0</v>
      </c>
      <c r="G155" s="28" t="s">
        <v>0</v>
      </c>
      <c r="H155" s="28" t="s">
        <v>0</v>
      </c>
      <c r="I155" s="28" t="s">
        <v>0</v>
      </c>
      <c r="J155" s="44" t="s">
        <v>0</v>
      </c>
      <c r="K155" s="44" t="s">
        <v>0</v>
      </c>
      <c r="L155" s="43">
        <f>IF(C155="","",SUM(G155:K155))</f>
      </c>
      <c r="M155" s="43">
        <f>IF(C155="","",IF(NOT(OR(C155="Squat",C155="Bench Press",C155="Deadlift",C155="Overhead Press",C155="Power Clean",C155="Light Squat")),30,IF(OR(C155="Squat",C155="Bench Press",C155="Overhead Press",C155="Light Squat"),15,IF(C155="Deadlift",5,IF(C155="Power Clean",15,0)))))</f>
      </c>
      <c r="N155" s="43">
        <f>IF(C155="","",IF(NOT(OR(C155="Squat",C155="Bench Press",C155="Deadlift",C155="Overhead Press",C155="Power Clean",C155="Light Squat")),"—",IF(L155&gt;=M155,"OK","STALL")))</f>
      </c>
      <c r="O155" s="43" t="s">
        <v>0</v>
      </c>
      <c r="P155" s="43">
        <f>IF($C155="Squat",$F155,0)</f>
      </c>
      <c r="Q155" s="43">
        <f>IF($C155="Bench Press",$F155,0)</f>
      </c>
      <c r="R155" s="43">
        <f>IF($C155="Deadlift",$F155,0)</f>
      </c>
      <c r="S155" s="43">
        <f>IF($C155="Overhead Press",$F155,0)</f>
      </c>
      <c r="T155" s="43">
        <f>IF($C155="Power Clean",$F155,0)</f>
      </c>
    </row>
    <row r="156" spans="1:20" x14ac:dyDescent="0.25">
      <c r="A156" s="28" t="s">
        <v>0</v>
      </c>
      <c r="B156" s="28" t="s">
        <v>0</v>
      </c>
      <c r="C156" s="28" t="s">
        <v>0</v>
      </c>
      <c r="D156" s="43">
        <f>IF(C156="","",IF(OR(C156="Squat",C156="Bench Press",C156="Overhead Press",C156="Light Squat"),"3x5",IF(C156="Deadlift","1x5",IF(C156="Power Clean","5x3","3x10"))))</f>
      </c>
      <c r="E156" s="43">
        <f>IF(C156="","",IF(NOT(OR(C156="Squat",C156="Bench Press",C156="Deadlift",C156="Overhead Press",C156="Power Clean",C156="Light Squat")),"—",IF(C156="Light Squat",IF(COUNTIF(C$10:C155,"Light Squat")=0,ROUND(SUMPRODUCT(MAX((C$10:C155="Squat")*(N$10:N155="OK")*(F$10:F155)))*Settings!$B$37/100/5,0)*5,IF(SUMPRODUCT((C$10:C155="Light Squat")*(N$10:N155="OK")*1)=0,ROUND(SUMPRODUCT(MAX((C$10:C155="Squat")*(N$10:N155="OK")*(F$10:F155)))*Settings!$B$37/100/5,0)*5,SUMPRODUCT(MAX((C$10:C155="Light Squat")*(N$10:N155="OK")*(F$10:F155)))+Settings!$B$38)),IF(SUMPRODUCT((C$10:C155=C156)*(N$10:N155="OK")*1)=0,IF(C156="Squat",Settings!$B$5,IF(C156="Bench Press",Settings!$B$6,IF(C156="Deadlift",Settings!$B$7,IF(C156="Overhead Press",Settings!$B$8,IF(C156="Power Clean",Settings!$B$9,0))))),SUMPRODUCT(MAX((C$10:C155=C156)*(N$10:N155="OK")*(F$10:F155)))+IF(C156="Squat",Settings!$B$12,IF(C156="Bench Press",Settings!$B$13,IF(C156="Deadlift",Settings!$B$14,IF(C156="Overhead Press",Settings!$B$15,IF(C156="Power Clean",Settings!$B$16,0)))))))))</f>
      </c>
      <c r="F156" s="28" t="s">
        <v>0</v>
      </c>
      <c r="G156" s="28" t="s">
        <v>0</v>
      </c>
      <c r="H156" s="28" t="s">
        <v>0</v>
      </c>
      <c r="I156" s="28" t="s">
        <v>0</v>
      </c>
      <c r="J156" s="44" t="s">
        <v>0</v>
      </c>
      <c r="K156" s="44" t="s">
        <v>0</v>
      </c>
      <c r="L156" s="43">
        <f>IF(C156="","",SUM(G156:K156))</f>
      </c>
      <c r="M156" s="43">
        <f>IF(C156="","",IF(NOT(OR(C156="Squat",C156="Bench Press",C156="Deadlift",C156="Overhead Press",C156="Power Clean",C156="Light Squat")),30,IF(OR(C156="Squat",C156="Bench Press",C156="Overhead Press",C156="Light Squat"),15,IF(C156="Deadlift",5,IF(C156="Power Clean",15,0)))))</f>
      </c>
      <c r="N156" s="43">
        <f>IF(C156="","",IF(NOT(OR(C156="Squat",C156="Bench Press",C156="Deadlift",C156="Overhead Press",C156="Power Clean",C156="Light Squat")),"—",IF(L156&gt;=M156,"OK","STALL")))</f>
      </c>
      <c r="O156" s="43" t="s">
        <v>0</v>
      </c>
      <c r="P156" s="43">
        <f>IF($C156="Squat",$F156,0)</f>
      </c>
      <c r="Q156" s="43">
        <f>IF($C156="Bench Press",$F156,0)</f>
      </c>
      <c r="R156" s="43">
        <f>IF($C156="Deadlift",$F156,0)</f>
      </c>
      <c r="S156" s="43">
        <f>IF($C156="Overhead Press",$F156,0)</f>
      </c>
      <c r="T156" s="43">
        <f>IF($C156="Power Clean",$F156,0)</f>
      </c>
    </row>
    <row r="157" spans="1:20" x14ac:dyDescent="0.25">
      <c r="A157" s="28" t="s">
        <v>0</v>
      </c>
      <c r="B157" s="28" t="s">
        <v>0</v>
      </c>
      <c r="C157" s="28" t="s">
        <v>0</v>
      </c>
      <c r="D157" s="43">
        <f>IF(C157="","",IF(OR(C157="Squat",C157="Bench Press",C157="Overhead Press",C157="Light Squat"),"3x5",IF(C157="Deadlift","1x5",IF(C157="Power Clean","5x3","3x10"))))</f>
      </c>
      <c r="E157" s="43">
        <f>IF(C157="","",IF(NOT(OR(C157="Squat",C157="Bench Press",C157="Deadlift",C157="Overhead Press",C157="Power Clean",C157="Light Squat")),"—",IF(C157="Light Squat",IF(COUNTIF(C$10:C156,"Light Squat")=0,ROUND(SUMPRODUCT(MAX((C$10:C156="Squat")*(N$10:N156="OK")*(F$10:F156)))*Settings!$B$37/100/5,0)*5,IF(SUMPRODUCT((C$10:C156="Light Squat")*(N$10:N156="OK")*1)=0,ROUND(SUMPRODUCT(MAX((C$10:C156="Squat")*(N$10:N156="OK")*(F$10:F156)))*Settings!$B$37/100/5,0)*5,SUMPRODUCT(MAX((C$10:C156="Light Squat")*(N$10:N156="OK")*(F$10:F156)))+Settings!$B$38)),IF(SUMPRODUCT((C$10:C156=C157)*(N$10:N156="OK")*1)=0,IF(C157="Squat",Settings!$B$5,IF(C157="Bench Press",Settings!$B$6,IF(C157="Deadlift",Settings!$B$7,IF(C157="Overhead Press",Settings!$B$8,IF(C157="Power Clean",Settings!$B$9,0))))),SUMPRODUCT(MAX((C$10:C156=C157)*(N$10:N156="OK")*(F$10:F156)))+IF(C157="Squat",Settings!$B$12,IF(C157="Bench Press",Settings!$B$13,IF(C157="Deadlift",Settings!$B$14,IF(C157="Overhead Press",Settings!$B$15,IF(C157="Power Clean",Settings!$B$16,0)))))))))</f>
      </c>
      <c r="F157" s="28" t="s">
        <v>0</v>
      </c>
      <c r="G157" s="28" t="s">
        <v>0</v>
      </c>
      <c r="H157" s="28" t="s">
        <v>0</v>
      </c>
      <c r="I157" s="28" t="s">
        <v>0</v>
      </c>
      <c r="J157" s="44" t="s">
        <v>0</v>
      </c>
      <c r="K157" s="44" t="s">
        <v>0</v>
      </c>
      <c r="L157" s="43">
        <f>IF(C157="","",SUM(G157:K157))</f>
      </c>
      <c r="M157" s="43">
        <f>IF(C157="","",IF(NOT(OR(C157="Squat",C157="Bench Press",C157="Deadlift",C157="Overhead Press",C157="Power Clean",C157="Light Squat")),30,IF(OR(C157="Squat",C157="Bench Press",C157="Overhead Press",C157="Light Squat"),15,IF(C157="Deadlift",5,IF(C157="Power Clean",15,0)))))</f>
      </c>
      <c r="N157" s="43">
        <f>IF(C157="","",IF(NOT(OR(C157="Squat",C157="Bench Press",C157="Deadlift",C157="Overhead Press",C157="Power Clean",C157="Light Squat")),"—",IF(L157&gt;=M157,"OK","STALL")))</f>
      </c>
      <c r="O157" s="43" t="s">
        <v>0</v>
      </c>
      <c r="P157" s="43">
        <f>IF($C157="Squat",$F157,0)</f>
      </c>
      <c r="Q157" s="43">
        <f>IF($C157="Bench Press",$F157,0)</f>
      </c>
      <c r="R157" s="43">
        <f>IF($C157="Deadlift",$F157,0)</f>
      </c>
      <c r="S157" s="43">
        <f>IF($C157="Overhead Press",$F157,0)</f>
      </c>
      <c r="T157" s="43">
        <f>IF($C157="Power Clean",$F157,0)</f>
      </c>
    </row>
    <row r="158" spans="1:20" x14ac:dyDescent="0.25">
      <c r="A158" s="28" t="s">
        <v>0</v>
      </c>
      <c r="B158" s="28" t="s">
        <v>0</v>
      </c>
      <c r="C158" s="28" t="s">
        <v>0</v>
      </c>
      <c r="D158" s="43">
        <f>IF(C158="","",IF(OR(C158="Squat",C158="Bench Press",C158="Overhead Press",C158="Light Squat"),"3x5",IF(C158="Deadlift","1x5",IF(C158="Power Clean","5x3","3x10"))))</f>
      </c>
      <c r="E158" s="43">
        <f>IF(C158="","",IF(NOT(OR(C158="Squat",C158="Bench Press",C158="Deadlift",C158="Overhead Press",C158="Power Clean",C158="Light Squat")),"—",IF(C158="Light Squat",IF(COUNTIF(C$10:C157,"Light Squat")=0,ROUND(SUMPRODUCT(MAX((C$10:C157="Squat")*(N$10:N157="OK")*(F$10:F157)))*Settings!$B$37/100/5,0)*5,IF(SUMPRODUCT((C$10:C157="Light Squat")*(N$10:N157="OK")*1)=0,ROUND(SUMPRODUCT(MAX((C$10:C157="Squat")*(N$10:N157="OK")*(F$10:F157)))*Settings!$B$37/100/5,0)*5,SUMPRODUCT(MAX((C$10:C157="Light Squat")*(N$10:N157="OK")*(F$10:F157)))+Settings!$B$38)),IF(SUMPRODUCT((C$10:C157=C158)*(N$10:N157="OK")*1)=0,IF(C158="Squat",Settings!$B$5,IF(C158="Bench Press",Settings!$B$6,IF(C158="Deadlift",Settings!$B$7,IF(C158="Overhead Press",Settings!$B$8,IF(C158="Power Clean",Settings!$B$9,0))))),SUMPRODUCT(MAX((C$10:C157=C158)*(N$10:N157="OK")*(F$10:F157)))+IF(C158="Squat",Settings!$B$12,IF(C158="Bench Press",Settings!$B$13,IF(C158="Deadlift",Settings!$B$14,IF(C158="Overhead Press",Settings!$B$15,IF(C158="Power Clean",Settings!$B$16,0)))))))))</f>
      </c>
      <c r="F158" s="28" t="s">
        <v>0</v>
      </c>
      <c r="G158" s="28" t="s">
        <v>0</v>
      </c>
      <c r="H158" s="28" t="s">
        <v>0</v>
      </c>
      <c r="I158" s="28" t="s">
        <v>0</v>
      </c>
      <c r="J158" s="44" t="s">
        <v>0</v>
      </c>
      <c r="K158" s="44" t="s">
        <v>0</v>
      </c>
      <c r="L158" s="43">
        <f>IF(C158="","",SUM(G158:K158))</f>
      </c>
      <c r="M158" s="43">
        <f>IF(C158="","",IF(NOT(OR(C158="Squat",C158="Bench Press",C158="Deadlift",C158="Overhead Press",C158="Power Clean",C158="Light Squat")),30,IF(OR(C158="Squat",C158="Bench Press",C158="Overhead Press",C158="Light Squat"),15,IF(C158="Deadlift",5,IF(C158="Power Clean",15,0)))))</f>
      </c>
      <c r="N158" s="43">
        <f>IF(C158="","",IF(NOT(OR(C158="Squat",C158="Bench Press",C158="Deadlift",C158="Overhead Press",C158="Power Clean",C158="Light Squat")),"—",IF(L158&gt;=M158,"OK","STALL")))</f>
      </c>
      <c r="O158" s="43" t="s">
        <v>0</v>
      </c>
      <c r="P158" s="43">
        <f>IF($C158="Squat",$F158,0)</f>
      </c>
      <c r="Q158" s="43">
        <f>IF($C158="Bench Press",$F158,0)</f>
      </c>
      <c r="R158" s="43">
        <f>IF($C158="Deadlift",$F158,0)</f>
      </c>
      <c r="S158" s="43">
        <f>IF($C158="Overhead Press",$F158,0)</f>
      </c>
      <c r="T158" s="43">
        <f>IF($C158="Power Clean",$F158,0)</f>
      </c>
    </row>
    <row r="159" spans="1:20" x14ac:dyDescent="0.25">
      <c r="A159" s="28" t="s">
        <v>0</v>
      </c>
      <c r="B159" s="28" t="s">
        <v>0</v>
      </c>
      <c r="C159" s="28" t="s">
        <v>0</v>
      </c>
      <c r="D159" s="43">
        <f>IF(C159="","",IF(OR(C159="Squat",C159="Bench Press",C159="Overhead Press",C159="Light Squat"),"3x5",IF(C159="Deadlift","1x5",IF(C159="Power Clean","5x3","3x10"))))</f>
      </c>
      <c r="E159" s="43">
        <f>IF(C159="","",IF(NOT(OR(C159="Squat",C159="Bench Press",C159="Deadlift",C159="Overhead Press",C159="Power Clean",C159="Light Squat")),"—",IF(C159="Light Squat",IF(COUNTIF(C$10:C158,"Light Squat")=0,ROUND(SUMPRODUCT(MAX((C$10:C158="Squat")*(N$10:N158="OK")*(F$10:F158)))*Settings!$B$37/100/5,0)*5,IF(SUMPRODUCT((C$10:C158="Light Squat")*(N$10:N158="OK")*1)=0,ROUND(SUMPRODUCT(MAX((C$10:C158="Squat")*(N$10:N158="OK")*(F$10:F158)))*Settings!$B$37/100/5,0)*5,SUMPRODUCT(MAX((C$10:C158="Light Squat")*(N$10:N158="OK")*(F$10:F158)))+Settings!$B$38)),IF(SUMPRODUCT((C$10:C158=C159)*(N$10:N158="OK")*1)=0,IF(C159="Squat",Settings!$B$5,IF(C159="Bench Press",Settings!$B$6,IF(C159="Deadlift",Settings!$B$7,IF(C159="Overhead Press",Settings!$B$8,IF(C159="Power Clean",Settings!$B$9,0))))),SUMPRODUCT(MAX((C$10:C158=C159)*(N$10:N158="OK")*(F$10:F158)))+IF(C159="Squat",Settings!$B$12,IF(C159="Bench Press",Settings!$B$13,IF(C159="Deadlift",Settings!$B$14,IF(C159="Overhead Press",Settings!$B$15,IF(C159="Power Clean",Settings!$B$16,0)))))))))</f>
      </c>
      <c r="F159" s="28" t="s">
        <v>0</v>
      </c>
      <c r="G159" s="28" t="s">
        <v>0</v>
      </c>
      <c r="H159" s="28" t="s">
        <v>0</v>
      </c>
      <c r="I159" s="28" t="s">
        <v>0</v>
      </c>
      <c r="J159" s="44" t="s">
        <v>0</v>
      </c>
      <c r="K159" s="44" t="s">
        <v>0</v>
      </c>
      <c r="L159" s="43">
        <f>IF(C159="","",SUM(G159:K159))</f>
      </c>
      <c r="M159" s="43">
        <f>IF(C159="","",IF(NOT(OR(C159="Squat",C159="Bench Press",C159="Deadlift",C159="Overhead Press",C159="Power Clean",C159="Light Squat")),30,IF(OR(C159="Squat",C159="Bench Press",C159="Overhead Press",C159="Light Squat"),15,IF(C159="Deadlift",5,IF(C159="Power Clean",15,0)))))</f>
      </c>
      <c r="N159" s="43">
        <f>IF(C159="","",IF(NOT(OR(C159="Squat",C159="Bench Press",C159="Deadlift",C159="Overhead Press",C159="Power Clean",C159="Light Squat")),"—",IF(L159&gt;=M159,"OK","STALL")))</f>
      </c>
      <c r="O159" s="43" t="s">
        <v>0</v>
      </c>
      <c r="P159" s="43">
        <f>IF($C159="Squat",$F159,0)</f>
      </c>
      <c r="Q159" s="43">
        <f>IF($C159="Bench Press",$F159,0)</f>
      </c>
      <c r="R159" s="43">
        <f>IF($C159="Deadlift",$F159,0)</f>
      </c>
      <c r="S159" s="43">
        <f>IF($C159="Overhead Press",$F159,0)</f>
      </c>
      <c r="T159" s="43">
        <f>IF($C159="Power Clean",$F159,0)</f>
      </c>
    </row>
    <row r="160" spans="1:20" x14ac:dyDescent="0.25">
      <c r="A160" s="28" t="s">
        <v>0</v>
      </c>
      <c r="B160" s="28" t="s">
        <v>0</v>
      </c>
      <c r="C160" s="28" t="s">
        <v>0</v>
      </c>
      <c r="D160" s="43">
        <f>IF(C160="","",IF(OR(C160="Squat",C160="Bench Press",C160="Overhead Press",C160="Light Squat"),"3x5",IF(C160="Deadlift","1x5",IF(C160="Power Clean","5x3","3x10"))))</f>
      </c>
      <c r="E160" s="43">
        <f>IF(C160="","",IF(NOT(OR(C160="Squat",C160="Bench Press",C160="Deadlift",C160="Overhead Press",C160="Power Clean",C160="Light Squat")),"—",IF(C160="Light Squat",IF(COUNTIF(C$10:C159,"Light Squat")=0,ROUND(SUMPRODUCT(MAX((C$10:C159="Squat")*(N$10:N159="OK")*(F$10:F159)))*Settings!$B$37/100/5,0)*5,IF(SUMPRODUCT((C$10:C159="Light Squat")*(N$10:N159="OK")*1)=0,ROUND(SUMPRODUCT(MAX((C$10:C159="Squat")*(N$10:N159="OK")*(F$10:F159)))*Settings!$B$37/100/5,0)*5,SUMPRODUCT(MAX((C$10:C159="Light Squat")*(N$10:N159="OK")*(F$10:F159)))+Settings!$B$38)),IF(SUMPRODUCT((C$10:C159=C160)*(N$10:N159="OK")*1)=0,IF(C160="Squat",Settings!$B$5,IF(C160="Bench Press",Settings!$B$6,IF(C160="Deadlift",Settings!$B$7,IF(C160="Overhead Press",Settings!$B$8,IF(C160="Power Clean",Settings!$B$9,0))))),SUMPRODUCT(MAX((C$10:C159=C160)*(N$10:N159="OK")*(F$10:F159)))+IF(C160="Squat",Settings!$B$12,IF(C160="Bench Press",Settings!$B$13,IF(C160="Deadlift",Settings!$B$14,IF(C160="Overhead Press",Settings!$B$15,IF(C160="Power Clean",Settings!$B$16,0)))))))))</f>
      </c>
      <c r="F160" s="28" t="s">
        <v>0</v>
      </c>
      <c r="G160" s="28" t="s">
        <v>0</v>
      </c>
      <c r="H160" s="28" t="s">
        <v>0</v>
      </c>
      <c r="I160" s="28" t="s">
        <v>0</v>
      </c>
      <c r="J160" s="44" t="s">
        <v>0</v>
      </c>
      <c r="K160" s="44" t="s">
        <v>0</v>
      </c>
      <c r="L160" s="43">
        <f>IF(C160="","",SUM(G160:K160))</f>
      </c>
      <c r="M160" s="43">
        <f>IF(C160="","",IF(NOT(OR(C160="Squat",C160="Bench Press",C160="Deadlift",C160="Overhead Press",C160="Power Clean",C160="Light Squat")),30,IF(OR(C160="Squat",C160="Bench Press",C160="Overhead Press",C160="Light Squat"),15,IF(C160="Deadlift",5,IF(C160="Power Clean",15,0)))))</f>
      </c>
      <c r="N160" s="43">
        <f>IF(C160="","",IF(NOT(OR(C160="Squat",C160="Bench Press",C160="Deadlift",C160="Overhead Press",C160="Power Clean",C160="Light Squat")),"—",IF(L160&gt;=M160,"OK","STALL")))</f>
      </c>
      <c r="O160" s="43" t="s">
        <v>0</v>
      </c>
      <c r="P160" s="43">
        <f>IF($C160="Squat",$F160,0)</f>
      </c>
      <c r="Q160" s="43">
        <f>IF($C160="Bench Press",$F160,0)</f>
      </c>
      <c r="R160" s="43">
        <f>IF($C160="Deadlift",$F160,0)</f>
      </c>
      <c r="S160" s="43">
        <f>IF($C160="Overhead Press",$F160,0)</f>
      </c>
      <c r="T160" s="43">
        <f>IF($C160="Power Clean",$F160,0)</f>
      </c>
    </row>
    <row r="161" spans="1:20" x14ac:dyDescent="0.25">
      <c r="A161" s="28" t="s">
        <v>0</v>
      </c>
      <c r="B161" s="28" t="s">
        <v>0</v>
      </c>
      <c r="C161" s="28" t="s">
        <v>0</v>
      </c>
      <c r="D161" s="43">
        <f>IF(C161="","",IF(OR(C161="Squat",C161="Bench Press",C161="Overhead Press",C161="Light Squat"),"3x5",IF(C161="Deadlift","1x5",IF(C161="Power Clean","5x3","3x10"))))</f>
      </c>
      <c r="E161" s="43">
        <f>IF(C161="","",IF(NOT(OR(C161="Squat",C161="Bench Press",C161="Deadlift",C161="Overhead Press",C161="Power Clean",C161="Light Squat")),"—",IF(C161="Light Squat",IF(COUNTIF(C$10:C160,"Light Squat")=0,ROUND(SUMPRODUCT(MAX((C$10:C160="Squat")*(N$10:N160="OK")*(F$10:F160)))*Settings!$B$37/100/5,0)*5,IF(SUMPRODUCT((C$10:C160="Light Squat")*(N$10:N160="OK")*1)=0,ROUND(SUMPRODUCT(MAX((C$10:C160="Squat")*(N$10:N160="OK")*(F$10:F160)))*Settings!$B$37/100/5,0)*5,SUMPRODUCT(MAX((C$10:C160="Light Squat")*(N$10:N160="OK")*(F$10:F160)))+Settings!$B$38)),IF(SUMPRODUCT((C$10:C160=C161)*(N$10:N160="OK")*1)=0,IF(C161="Squat",Settings!$B$5,IF(C161="Bench Press",Settings!$B$6,IF(C161="Deadlift",Settings!$B$7,IF(C161="Overhead Press",Settings!$B$8,IF(C161="Power Clean",Settings!$B$9,0))))),SUMPRODUCT(MAX((C$10:C160=C161)*(N$10:N160="OK")*(F$10:F160)))+IF(C161="Squat",Settings!$B$12,IF(C161="Bench Press",Settings!$B$13,IF(C161="Deadlift",Settings!$B$14,IF(C161="Overhead Press",Settings!$B$15,IF(C161="Power Clean",Settings!$B$16,0)))))))))</f>
      </c>
      <c r="F161" s="28" t="s">
        <v>0</v>
      </c>
      <c r="G161" s="28" t="s">
        <v>0</v>
      </c>
      <c r="H161" s="28" t="s">
        <v>0</v>
      </c>
      <c r="I161" s="28" t="s">
        <v>0</v>
      </c>
      <c r="J161" s="44" t="s">
        <v>0</v>
      </c>
      <c r="K161" s="44" t="s">
        <v>0</v>
      </c>
      <c r="L161" s="43">
        <f>IF(C161="","",SUM(G161:K161))</f>
      </c>
      <c r="M161" s="43">
        <f>IF(C161="","",IF(NOT(OR(C161="Squat",C161="Bench Press",C161="Deadlift",C161="Overhead Press",C161="Power Clean",C161="Light Squat")),30,IF(OR(C161="Squat",C161="Bench Press",C161="Overhead Press",C161="Light Squat"),15,IF(C161="Deadlift",5,IF(C161="Power Clean",15,0)))))</f>
      </c>
      <c r="N161" s="43">
        <f>IF(C161="","",IF(NOT(OR(C161="Squat",C161="Bench Press",C161="Deadlift",C161="Overhead Press",C161="Power Clean",C161="Light Squat")),"—",IF(L161&gt;=M161,"OK","STALL")))</f>
      </c>
      <c r="O161" s="43" t="s">
        <v>0</v>
      </c>
      <c r="P161" s="43">
        <f>IF($C161="Squat",$F161,0)</f>
      </c>
      <c r="Q161" s="43">
        <f>IF($C161="Bench Press",$F161,0)</f>
      </c>
      <c r="R161" s="43">
        <f>IF($C161="Deadlift",$F161,0)</f>
      </c>
      <c r="S161" s="43">
        <f>IF($C161="Overhead Press",$F161,0)</f>
      </c>
      <c r="T161" s="43">
        <f>IF($C161="Power Clean",$F161,0)</f>
      </c>
    </row>
    <row r="162" spans="1:20" x14ac:dyDescent="0.25">
      <c r="A162" s="28" t="s">
        <v>0</v>
      </c>
      <c r="B162" s="28" t="s">
        <v>0</v>
      </c>
      <c r="C162" s="28" t="s">
        <v>0</v>
      </c>
      <c r="D162" s="43">
        <f>IF(C162="","",IF(OR(C162="Squat",C162="Bench Press",C162="Overhead Press",C162="Light Squat"),"3x5",IF(C162="Deadlift","1x5",IF(C162="Power Clean","5x3","3x10"))))</f>
      </c>
      <c r="E162" s="43">
        <f>IF(C162="","",IF(NOT(OR(C162="Squat",C162="Bench Press",C162="Deadlift",C162="Overhead Press",C162="Power Clean",C162="Light Squat")),"—",IF(C162="Light Squat",IF(COUNTIF(C$10:C161,"Light Squat")=0,ROUND(SUMPRODUCT(MAX((C$10:C161="Squat")*(N$10:N161="OK")*(F$10:F161)))*Settings!$B$37/100/5,0)*5,IF(SUMPRODUCT((C$10:C161="Light Squat")*(N$10:N161="OK")*1)=0,ROUND(SUMPRODUCT(MAX((C$10:C161="Squat")*(N$10:N161="OK")*(F$10:F161)))*Settings!$B$37/100/5,0)*5,SUMPRODUCT(MAX((C$10:C161="Light Squat")*(N$10:N161="OK")*(F$10:F161)))+Settings!$B$38)),IF(SUMPRODUCT((C$10:C161=C162)*(N$10:N161="OK")*1)=0,IF(C162="Squat",Settings!$B$5,IF(C162="Bench Press",Settings!$B$6,IF(C162="Deadlift",Settings!$B$7,IF(C162="Overhead Press",Settings!$B$8,IF(C162="Power Clean",Settings!$B$9,0))))),SUMPRODUCT(MAX((C$10:C161=C162)*(N$10:N161="OK")*(F$10:F161)))+IF(C162="Squat",Settings!$B$12,IF(C162="Bench Press",Settings!$B$13,IF(C162="Deadlift",Settings!$B$14,IF(C162="Overhead Press",Settings!$B$15,IF(C162="Power Clean",Settings!$B$16,0)))))))))</f>
      </c>
      <c r="F162" s="28" t="s">
        <v>0</v>
      </c>
      <c r="G162" s="28" t="s">
        <v>0</v>
      </c>
      <c r="H162" s="28" t="s">
        <v>0</v>
      </c>
      <c r="I162" s="28" t="s">
        <v>0</v>
      </c>
      <c r="J162" s="44" t="s">
        <v>0</v>
      </c>
      <c r="K162" s="44" t="s">
        <v>0</v>
      </c>
      <c r="L162" s="43">
        <f>IF(C162="","",SUM(G162:K162))</f>
      </c>
      <c r="M162" s="43">
        <f>IF(C162="","",IF(NOT(OR(C162="Squat",C162="Bench Press",C162="Deadlift",C162="Overhead Press",C162="Power Clean",C162="Light Squat")),30,IF(OR(C162="Squat",C162="Bench Press",C162="Overhead Press",C162="Light Squat"),15,IF(C162="Deadlift",5,IF(C162="Power Clean",15,0)))))</f>
      </c>
      <c r="N162" s="43">
        <f>IF(C162="","",IF(NOT(OR(C162="Squat",C162="Bench Press",C162="Deadlift",C162="Overhead Press",C162="Power Clean",C162="Light Squat")),"—",IF(L162&gt;=M162,"OK","STALL")))</f>
      </c>
      <c r="O162" s="43" t="s">
        <v>0</v>
      </c>
      <c r="P162" s="43">
        <f>IF($C162="Squat",$F162,0)</f>
      </c>
      <c r="Q162" s="43">
        <f>IF($C162="Bench Press",$F162,0)</f>
      </c>
      <c r="R162" s="43">
        <f>IF($C162="Deadlift",$F162,0)</f>
      </c>
      <c r="S162" s="43">
        <f>IF($C162="Overhead Press",$F162,0)</f>
      </c>
      <c r="T162" s="43">
        <f>IF($C162="Power Clean",$F162,0)</f>
      </c>
    </row>
    <row r="163" spans="1:20" x14ac:dyDescent="0.25">
      <c r="A163" s="28" t="s">
        <v>0</v>
      </c>
      <c r="B163" s="28" t="s">
        <v>0</v>
      </c>
      <c r="C163" s="28" t="s">
        <v>0</v>
      </c>
      <c r="D163" s="43">
        <f>IF(C163="","",IF(OR(C163="Squat",C163="Bench Press",C163="Overhead Press",C163="Light Squat"),"3x5",IF(C163="Deadlift","1x5",IF(C163="Power Clean","5x3","3x10"))))</f>
      </c>
      <c r="E163" s="43">
        <f>IF(C163="","",IF(NOT(OR(C163="Squat",C163="Bench Press",C163="Deadlift",C163="Overhead Press",C163="Power Clean",C163="Light Squat")),"—",IF(C163="Light Squat",IF(COUNTIF(C$10:C162,"Light Squat")=0,ROUND(SUMPRODUCT(MAX((C$10:C162="Squat")*(N$10:N162="OK")*(F$10:F162)))*Settings!$B$37/100/5,0)*5,IF(SUMPRODUCT((C$10:C162="Light Squat")*(N$10:N162="OK")*1)=0,ROUND(SUMPRODUCT(MAX((C$10:C162="Squat")*(N$10:N162="OK")*(F$10:F162)))*Settings!$B$37/100/5,0)*5,SUMPRODUCT(MAX((C$10:C162="Light Squat")*(N$10:N162="OK")*(F$10:F162)))+Settings!$B$38)),IF(SUMPRODUCT((C$10:C162=C163)*(N$10:N162="OK")*1)=0,IF(C163="Squat",Settings!$B$5,IF(C163="Bench Press",Settings!$B$6,IF(C163="Deadlift",Settings!$B$7,IF(C163="Overhead Press",Settings!$B$8,IF(C163="Power Clean",Settings!$B$9,0))))),SUMPRODUCT(MAX((C$10:C162=C163)*(N$10:N162="OK")*(F$10:F162)))+IF(C163="Squat",Settings!$B$12,IF(C163="Bench Press",Settings!$B$13,IF(C163="Deadlift",Settings!$B$14,IF(C163="Overhead Press",Settings!$B$15,IF(C163="Power Clean",Settings!$B$16,0)))))))))</f>
      </c>
      <c r="F163" s="28" t="s">
        <v>0</v>
      </c>
      <c r="G163" s="28" t="s">
        <v>0</v>
      </c>
      <c r="H163" s="28" t="s">
        <v>0</v>
      </c>
      <c r="I163" s="28" t="s">
        <v>0</v>
      </c>
      <c r="J163" s="44" t="s">
        <v>0</v>
      </c>
      <c r="K163" s="44" t="s">
        <v>0</v>
      </c>
      <c r="L163" s="43">
        <f>IF(C163="","",SUM(G163:K163))</f>
      </c>
      <c r="M163" s="43">
        <f>IF(C163="","",IF(NOT(OR(C163="Squat",C163="Bench Press",C163="Deadlift",C163="Overhead Press",C163="Power Clean",C163="Light Squat")),30,IF(OR(C163="Squat",C163="Bench Press",C163="Overhead Press",C163="Light Squat"),15,IF(C163="Deadlift",5,IF(C163="Power Clean",15,0)))))</f>
      </c>
      <c r="N163" s="43">
        <f>IF(C163="","",IF(NOT(OR(C163="Squat",C163="Bench Press",C163="Deadlift",C163="Overhead Press",C163="Power Clean",C163="Light Squat")),"—",IF(L163&gt;=M163,"OK","STALL")))</f>
      </c>
      <c r="O163" s="43" t="s">
        <v>0</v>
      </c>
      <c r="P163" s="43">
        <f>IF($C163="Squat",$F163,0)</f>
      </c>
      <c r="Q163" s="43">
        <f>IF($C163="Bench Press",$F163,0)</f>
      </c>
      <c r="R163" s="43">
        <f>IF($C163="Deadlift",$F163,0)</f>
      </c>
      <c r="S163" s="43">
        <f>IF($C163="Overhead Press",$F163,0)</f>
      </c>
      <c r="T163" s="43">
        <f>IF($C163="Power Clean",$F163,0)</f>
      </c>
    </row>
    <row r="164" spans="1:20" x14ac:dyDescent="0.25">
      <c r="A164" s="28" t="s">
        <v>0</v>
      </c>
      <c r="B164" s="28" t="s">
        <v>0</v>
      </c>
      <c r="C164" s="28" t="s">
        <v>0</v>
      </c>
      <c r="D164" s="43">
        <f>IF(C164="","",IF(OR(C164="Squat",C164="Bench Press",C164="Overhead Press",C164="Light Squat"),"3x5",IF(C164="Deadlift","1x5",IF(C164="Power Clean","5x3","3x10"))))</f>
      </c>
      <c r="E164" s="43">
        <f>IF(C164="","",IF(NOT(OR(C164="Squat",C164="Bench Press",C164="Deadlift",C164="Overhead Press",C164="Power Clean",C164="Light Squat")),"—",IF(C164="Light Squat",IF(COUNTIF(C$10:C163,"Light Squat")=0,ROUND(SUMPRODUCT(MAX((C$10:C163="Squat")*(N$10:N163="OK")*(F$10:F163)))*Settings!$B$37/100/5,0)*5,IF(SUMPRODUCT((C$10:C163="Light Squat")*(N$10:N163="OK")*1)=0,ROUND(SUMPRODUCT(MAX((C$10:C163="Squat")*(N$10:N163="OK")*(F$10:F163)))*Settings!$B$37/100/5,0)*5,SUMPRODUCT(MAX((C$10:C163="Light Squat")*(N$10:N163="OK")*(F$10:F163)))+Settings!$B$38)),IF(SUMPRODUCT((C$10:C163=C164)*(N$10:N163="OK")*1)=0,IF(C164="Squat",Settings!$B$5,IF(C164="Bench Press",Settings!$B$6,IF(C164="Deadlift",Settings!$B$7,IF(C164="Overhead Press",Settings!$B$8,IF(C164="Power Clean",Settings!$B$9,0))))),SUMPRODUCT(MAX((C$10:C163=C164)*(N$10:N163="OK")*(F$10:F163)))+IF(C164="Squat",Settings!$B$12,IF(C164="Bench Press",Settings!$B$13,IF(C164="Deadlift",Settings!$B$14,IF(C164="Overhead Press",Settings!$B$15,IF(C164="Power Clean",Settings!$B$16,0)))))))))</f>
      </c>
      <c r="F164" s="28" t="s">
        <v>0</v>
      </c>
      <c r="G164" s="28" t="s">
        <v>0</v>
      </c>
      <c r="H164" s="28" t="s">
        <v>0</v>
      </c>
      <c r="I164" s="28" t="s">
        <v>0</v>
      </c>
      <c r="J164" s="44" t="s">
        <v>0</v>
      </c>
      <c r="K164" s="44" t="s">
        <v>0</v>
      </c>
      <c r="L164" s="43">
        <f>IF(C164="","",SUM(G164:K164))</f>
      </c>
      <c r="M164" s="43">
        <f>IF(C164="","",IF(NOT(OR(C164="Squat",C164="Bench Press",C164="Deadlift",C164="Overhead Press",C164="Power Clean",C164="Light Squat")),30,IF(OR(C164="Squat",C164="Bench Press",C164="Overhead Press",C164="Light Squat"),15,IF(C164="Deadlift",5,IF(C164="Power Clean",15,0)))))</f>
      </c>
      <c r="N164" s="43">
        <f>IF(C164="","",IF(NOT(OR(C164="Squat",C164="Bench Press",C164="Deadlift",C164="Overhead Press",C164="Power Clean",C164="Light Squat")),"—",IF(L164&gt;=M164,"OK","STALL")))</f>
      </c>
      <c r="O164" s="43" t="s">
        <v>0</v>
      </c>
      <c r="P164" s="43">
        <f>IF($C164="Squat",$F164,0)</f>
      </c>
      <c r="Q164" s="43">
        <f>IF($C164="Bench Press",$F164,0)</f>
      </c>
      <c r="R164" s="43">
        <f>IF($C164="Deadlift",$F164,0)</f>
      </c>
      <c r="S164" s="43">
        <f>IF($C164="Overhead Press",$F164,0)</f>
      </c>
      <c r="T164" s="43">
        <f>IF($C164="Power Clean",$F164,0)</f>
      </c>
    </row>
    <row r="165" spans="1:20" x14ac:dyDescent="0.25">
      <c r="A165" s="28" t="s">
        <v>0</v>
      </c>
      <c r="B165" s="28" t="s">
        <v>0</v>
      </c>
      <c r="C165" s="28" t="s">
        <v>0</v>
      </c>
      <c r="D165" s="43">
        <f>IF(C165="","",IF(OR(C165="Squat",C165="Bench Press",C165="Overhead Press",C165="Light Squat"),"3x5",IF(C165="Deadlift","1x5",IF(C165="Power Clean","5x3","3x10"))))</f>
      </c>
      <c r="E165" s="43">
        <f>IF(C165="","",IF(NOT(OR(C165="Squat",C165="Bench Press",C165="Deadlift",C165="Overhead Press",C165="Power Clean",C165="Light Squat")),"—",IF(C165="Light Squat",IF(COUNTIF(C$10:C164,"Light Squat")=0,ROUND(SUMPRODUCT(MAX((C$10:C164="Squat")*(N$10:N164="OK")*(F$10:F164)))*Settings!$B$37/100/5,0)*5,IF(SUMPRODUCT((C$10:C164="Light Squat")*(N$10:N164="OK")*1)=0,ROUND(SUMPRODUCT(MAX((C$10:C164="Squat")*(N$10:N164="OK")*(F$10:F164)))*Settings!$B$37/100/5,0)*5,SUMPRODUCT(MAX((C$10:C164="Light Squat")*(N$10:N164="OK")*(F$10:F164)))+Settings!$B$38)),IF(SUMPRODUCT((C$10:C164=C165)*(N$10:N164="OK")*1)=0,IF(C165="Squat",Settings!$B$5,IF(C165="Bench Press",Settings!$B$6,IF(C165="Deadlift",Settings!$B$7,IF(C165="Overhead Press",Settings!$B$8,IF(C165="Power Clean",Settings!$B$9,0))))),SUMPRODUCT(MAX((C$10:C164=C165)*(N$10:N164="OK")*(F$10:F164)))+IF(C165="Squat",Settings!$B$12,IF(C165="Bench Press",Settings!$B$13,IF(C165="Deadlift",Settings!$B$14,IF(C165="Overhead Press",Settings!$B$15,IF(C165="Power Clean",Settings!$B$16,0)))))))))</f>
      </c>
      <c r="F165" s="28" t="s">
        <v>0</v>
      </c>
      <c r="G165" s="28" t="s">
        <v>0</v>
      </c>
      <c r="H165" s="28" t="s">
        <v>0</v>
      </c>
      <c r="I165" s="28" t="s">
        <v>0</v>
      </c>
      <c r="J165" s="44" t="s">
        <v>0</v>
      </c>
      <c r="K165" s="44" t="s">
        <v>0</v>
      </c>
      <c r="L165" s="43">
        <f>IF(C165="","",SUM(G165:K165))</f>
      </c>
      <c r="M165" s="43">
        <f>IF(C165="","",IF(NOT(OR(C165="Squat",C165="Bench Press",C165="Deadlift",C165="Overhead Press",C165="Power Clean",C165="Light Squat")),30,IF(OR(C165="Squat",C165="Bench Press",C165="Overhead Press",C165="Light Squat"),15,IF(C165="Deadlift",5,IF(C165="Power Clean",15,0)))))</f>
      </c>
      <c r="N165" s="43">
        <f>IF(C165="","",IF(NOT(OR(C165="Squat",C165="Bench Press",C165="Deadlift",C165="Overhead Press",C165="Power Clean",C165="Light Squat")),"—",IF(L165&gt;=M165,"OK","STALL")))</f>
      </c>
      <c r="O165" s="43" t="s">
        <v>0</v>
      </c>
      <c r="P165" s="43">
        <f>IF($C165="Squat",$F165,0)</f>
      </c>
      <c r="Q165" s="43">
        <f>IF($C165="Bench Press",$F165,0)</f>
      </c>
      <c r="R165" s="43">
        <f>IF($C165="Deadlift",$F165,0)</f>
      </c>
      <c r="S165" s="43">
        <f>IF($C165="Overhead Press",$F165,0)</f>
      </c>
      <c r="T165" s="43">
        <f>IF($C165="Power Clean",$F165,0)</f>
      </c>
    </row>
    <row r="166" spans="1:20" x14ac:dyDescent="0.25">
      <c r="A166" s="28" t="s">
        <v>0</v>
      </c>
      <c r="B166" s="28" t="s">
        <v>0</v>
      </c>
      <c r="C166" s="28" t="s">
        <v>0</v>
      </c>
      <c r="D166" s="43">
        <f>IF(C166="","",IF(OR(C166="Squat",C166="Bench Press",C166="Overhead Press",C166="Light Squat"),"3x5",IF(C166="Deadlift","1x5",IF(C166="Power Clean","5x3","3x10"))))</f>
      </c>
      <c r="E166" s="43">
        <f>IF(C166="","",IF(NOT(OR(C166="Squat",C166="Bench Press",C166="Deadlift",C166="Overhead Press",C166="Power Clean",C166="Light Squat")),"—",IF(C166="Light Squat",IF(COUNTIF(C$10:C165,"Light Squat")=0,ROUND(SUMPRODUCT(MAX((C$10:C165="Squat")*(N$10:N165="OK")*(F$10:F165)))*Settings!$B$37/100/5,0)*5,IF(SUMPRODUCT((C$10:C165="Light Squat")*(N$10:N165="OK")*1)=0,ROUND(SUMPRODUCT(MAX((C$10:C165="Squat")*(N$10:N165="OK")*(F$10:F165)))*Settings!$B$37/100/5,0)*5,SUMPRODUCT(MAX((C$10:C165="Light Squat")*(N$10:N165="OK")*(F$10:F165)))+Settings!$B$38)),IF(SUMPRODUCT((C$10:C165=C166)*(N$10:N165="OK")*1)=0,IF(C166="Squat",Settings!$B$5,IF(C166="Bench Press",Settings!$B$6,IF(C166="Deadlift",Settings!$B$7,IF(C166="Overhead Press",Settings!$B$8,IF(C166="Power Clean",Settings!$B$9,0))))),SUMPRODUCT(MAX((C$10:C165=C166)*(N$10:N165="OK")*(F$10:F165)))+IF(C166="Squat",Settings!$B$12,IF(C166="Bench Press",Settings!$B$13,IF(C166="Deadlift",Settings!$B$14,IF(C166="Overhead Press",Settings!$B$15,IF(C166="Power Clean",Settings!$B$16,0)))))))))</f>
      </c>
      <c r="F166" s="28" t="s">
        <v>0</v>
      </c>
      <c r="G166" s="28" t="s">
        <v>0</v>
      </c>
      <c r="H166" s="28" t="s">
        <v>0</v>
      </c>
      <c r="I166" s="28" t="s">
        <v>0</v>
      </c>
      <c r="J166" s="44" t="s">
        <v>0</v>
      </c>
      <c r="K166" s="44" t="s">
        <v>0</v>
      </c>
      <c r="L166" s="43">
        <f>IF(C166="","",SUM(G166:K166))</f>
      </c>
      <c r="M166" s="43">
        <f>IF(C166="","",IF(NOT(OR(C166="Squat",C166="Bench Press",C166="Deadlift",C166="Overhead Press",C166="Power Clean",C166="Light Squat")),30,IF(OR(C166="Squat",C166="Bench Press",C166="Overhead Press",C166="Light Squat"),15,IF(C166="Deadlift",5,IF(C166="Power Clean",15,0)))))</f>
      </c>
      <c r="N166" s="43">
        <f>IF(C166="","",IF(NOT(OR(C166="Squat",C166="Bench Press",C166="Deadlift",C166="Overhead Press",C166="Power Clean",C166="Light Squat")),"—",IF(L166&gt;=M166,"OK","STALL")))</f>
      </c>
      <c r="O166" s="43" t="s">
        <v>0</v>
      </c>
      <c r="P166" s="43">
        <f>IF($C166="Squat",$F166,0)</f>
      </c>
      <c r="Q166" s="43">
        <f>IF($C166="Bench Press",$F166,0)</f>
      </c>
      <c r="R166" s="43">
        <f>IF($C166="Deadlift",$F166,0)</f>
      </c>
      <c r="S166" s="43">
        <f>IF($C166="Overhead Press",$F166,0)</f>
      </c>
      <c r="T166" s="43">
        <f>IF($C166="Power Clean",$F166,0)</f>
      </c>
    </row>
    <row r="167" spans="1:20" x14ac:dyDescent="0.25">
      <c r="A167" s="28" t="s">
        <v>0</v>
      </c>
      <c r="B167" s="28" t="s">
        <v>0</v>
      </c>
      <c r="C167" s="28" t="s">
        <v>0</v>
      </c>
      <c r="D167" s="43">
        <f>IF(C167="","",IF(OR(C167="Squat",C167="Bench Press",C167="Overhead Press",C167="Light Squat"),"3x5",IF(C167="Deadlift","1x5",IF(C167="Power Clean","5x3","3x10"))))</f>
      </c>
      <c r="E167" s="43">
        <f>IF(C167="","",IF(NOT(OR(C167="Squat",C167="Bench Press",C167="Deadlift",C167="Overhead Press",C167="Power Clean",C167="Light Squat")),"—",IF(C167="Light Squat",IF(COUNTIF(C$10:C166,"Light Squat")=0,ROUND(SUMPRODUCT(MAX((C$10:C166="Squat")*(N$10:N166="OK")*(F$10:F166)))*Settings!$B$37/100/5,0)*5,IF(SUMPRODUCT((C$10:C166="Light Squat")*(N$10:N166="OK")*1)=0,ROUND(SUMPRODUCT(MAX((C$10:C166="Squat")*(N$10:N166="OK")*(F$10:F166)))*Settings!$B$37/100/5,0)*5,SUMPRODUCT(MAX((C$10:C166="Light Squat")*(N$10:N166="OK")*(F$10:F166)))+Settings!$B$38)),IF(SUMPRODUCT((C$10:C166=C167)*(N$10:N166="OK")*1)=0,IF(C167="Squat",Settings!$B$5,IF(C167="Bench Press",Settings!$B$6,IF(C167="Deadlift",Settings!$B$7,IF(C167="Overhead Press",Settings!$B$8,IF(C167="Power Clean",Settings!$B$9,0))))),SUMPRODUCT(MAX((C$10:C166=C167)*(N$10:N166="OK")*(F$10:F166)))+IF(C167="Squat",Settings!$B$12,IF(C167="Bench Press",Settings!$B$13,IF(C167="Deadlift",Settings!$B$14,IF(C167="Overhead Press",Settings!$B$15,IF(C167="Power Clean",Settings!$B$16,0)))))))))</f>
      </c>
      <c r="F167" s="28" t="s">
        <v>0</v>
      </c>
      <c r="G167" s="28" t="s">
        <v>0</v>
      </c>
      <c r="H167" s="28" t="s">
        <v>0</v>
      </c>
      <c r="I167" s="28" t="s">
        <v>0</v>
      </c>
      <c r="J167" s="44" t="s">
        <v>0</v>
      </c>
      <c r="K167" s="44" t="s">
        <v>0</v>
      </c>
      <c r="L167" s="43">
        <f>IF(C167="","",SUM(G167:K167))</f>
      </c>
      <c r="M167" s="43">
        <f>IF(C167="","",IF(NOT(OR(C167="Squat",C167="Bench Press",C167="Deadlift",C167="Overhead Press",C167="Power Clean",C167="Light Squat")),30,IF(OR(C167="Squat",C167="Bench Press",C167="Overhead Press",C167="Light Squat"),15,IF(C167="Deadlift",5,IF(C167="Power Clean",15,0)))))</f>
      </c>
      <c r="N167" s="43">
        <f>IF(C167="","",IF(NOT(OR(C167="Squat",C167="Bench Press",C167="Deadlift",C167="Overhead Press",C167="Power Clean",C167="Light Squat")),"—",IF(L167&gt;=M167,"OK","STALL")))</f>
      </c>
      <c r="O167" s="43" t="s">
        <v>0</v>
      </c>
      <c r="P167" s="43">
        <f>IF($C167="Squat",$F167,0)</f>
      </c>
      <c r="Q167" s="43">
        <f>IF($C167="Bench Press",$F167,0)</f>
      </c>
      <c r="R167" s="43">
        <f>IF($C167="Deadlift",$F167,0)</f>
      </c>
      <c r="S167" s="43">
        <f>IF($C167="Overhead Press",$F167,0)</f>
      </c>
      <c r="T167" s="43">
        <f>IF($C167="Power Clean",$F167,0)</f>
      </c>
    </row>
    <row r="168" spans="1:20" x14ac:dyDescent="0.25">
      <c r="A168" s="28" t="s">
        <v>0</v>
      </c>
      <c r="B168" s="28" t="s">
        <v>0</v>
      </c>
      <c r="C168" s="28" t="s">
        <v>0</v>
      </c>
      <c r="D168" s="43">
        <f>IF(C168="","",IF(OR(C168="Squat",C168="Bench Press",C168="Overhead Press",C168="Light Squat"),"3x5",IF(C168="Deadlift","1x5",IF(C168="Power Clean","5x3","3x10"))))</f>
      </c>
      <c r="E168" s="43">
        <f>IF(C168="","",IF(NOT(OR(C168="Squat",C168="Bench Press",C168="Deadlift",C168="Overhead Press",C168="Power Clean",C168="Light Squat")),"—",IF(C168="Light Squat",IF(COUNTIF(C$10:C167,"Light Squat")=0,ROUND(SUMPRODUCT(MAX((C$10:C167="Squat")*(N$10:N167="OK")*(F$10:F167)))*Settings!$B$37/100/5,0)*5,IF(SUMPRODUCT((C$10:C167="Light Squat")*(N$10:N167="OK")*1)=0,ROUND(SUMPRODUCT(MAX((C$10:C167="Squat")*(N$10:N167="OK")*(F$10:F167)))*Settings!$B$37/100/5,0)*5,SUMPRODUCT(MAX((C$10:C167="Light Squat")*(N$10:N167="OK")*(F$10:F167)))+Settings!$B$38)),IF(SUMPRODUCT((C$10:C167=C168)*(N$10:N167="OK")*1)=0,IF(C168="Squat",Settings!$B$5,IF(C168="Bench Press",Settings!$B$6,IF(C168="Deadlift",Settings!$B$7,IF(C168="Overhead Press",Settings!$B$8,IF(C168="Power Clean",Settings!$B$9,0))))),SUMPRODUCT(MAX((C$10:C167=C168)*(N$10:N167="OK")*(F$10:F167)))+IF(C168="Squat",Settings!$B$12,IF(C168="Bench Press",Settings!$B$13,IF(C168="Deadlift",Settings!$B$14,IF(C168="Overhead Press",Settings!$B$15,IF(C168="Power Clean",Settings!$B$16,0)))))))))</f>
      </c>
      <c r="F168" s="28" t="s">
        <v>0</v>
      </c>
      <c r="G168" s="28" t="s">
        <v>0</v>
      </c>
      <c r="H168" s="28" t="s">
        <v>0</v>
      </c>
      <c r="I168" s="28" t="s">
        <v>0</v>
      </c>
      <c r="J168" s="44" t="s">
        <v>0</v>
      </c>
      <c r="K168" s="44" t="s">
        <v>0</v>
      </c>
      <c r="L168" s="43">
        <f>IF(C168="","",SUM(G168:K168))</f>
      </c>
      <c r="M168" s="43">
        <f>IF(C168="","",IF(NOT(OR(C168="Squat",C168="Bench Press",C168="Deadlift",C168="Overhead Press",C168="Power Clean",C168="Light Squat")),30,IF(OR(C168="Squat",C168="Bench Press",C168="Overhead Press",C168="Light Squat"),15,IF(C168="Deadlift",5,IF(C168="Power Clean",15,0)))))</f>
      </c>
      <c r="N168" s="43">
        <f>IF(C168="","",IF(NOT(OR(C168="Squat",C168="Bench Press",C168="Deadlift",C168="Overhead Press",C168="Power Clean",C168="Light Squat")),"—",IF(L168&gt;=M168,"OK","STALL")))</f>
      </c>
      <c r="O168" s="43" t="s">
        <v>0</v>
      </c>
      <c r="P168" s="43">
        <f>IF($C168="Squat",$F168,0)</f>
      </c>
      <c r="Q168" s="43">
        <f>IF($C168="Bench Press",$F168,0)</f>
      </c>
      <c r="R168" s="43">
        <f>IF($C168="Deadlift",$F168,0)</f>
      </c>
      <c r="S168" s="43">
        <f>IF($C168="Overhead Press",$F168,0)</f>
      </c>
      <c r="T168" s="43">
        <f>IF($C168="Power Clean",$F168,0)</f>
      </c>
    </row>
    <row r="169" spans="1:20" x14ac:dyDescent="0.25">
      <c r="A169" s="28" t="s">
        <v>0</v>
      </c>
      <c r="B169" s="28" t="s">
        <v>0</v>
      </c>
      <c r="C169" s="28" t="s">
        <v>0</v>
      </c>
      <c r="D169" s="43">
        <f>IF(C169="","",IF(OR(C169="Squat",C169="Bench Press",C169="Overhead Press",C169="Light Squat"),"3x5",IF(C169="Deadlift","1x5",IF(C169="Power Clean","5x3","3x10"))))</f>
      </c>
      <c r="E169" s="43">
        <f>IF(C169="","",IF(NOT(OR(C169="Squat",C169="Bench Press",C169="Deadlift",C169="Overhead Press",C169="Power Clean",C169="Light Squat")),"—",IF(C169="Light Squat",IF(COUNTIF(C$10:C168,"Light Squat")=0,ROUND(SUMPRODUCT(MAX((C$10:C168="Squat")*(N$10:N168="OK")*(F$10:F168)))*Settings!$B$37/100/5,0)*5,IF(SUMPRODUCT((C$10:C168="Light Squat")*(N$10:N168="OK")*1)=0,ROUND(SUMPRODUCT(MAX((C$10:C168="Squat")*(N$10:N168="OK")*(F$10:F168)))*Settings!$B$37/100/5,0)*5,SUMPRODUCT(MAX((C$10:C168="Light Squat")*(N$10:N168="OK")*(F$10:F168)))+Settings!$B$38)),IF(SUMPRODUCT((C$10:C168=C169)*(N$10:N168="OK")*1)=0,IF(C169="Squat",Settings!$B$5,IF(C169="Bench Press",Settings!$B$6,IF(C169="Deadlift",Settings!$B$7,IF(C169="Overhead Press",Settings!$B$8,IF(C169="Power Clean",Settings!$B$9,0))))),SUMPRODUCT(MAX((C$10:C168=C169)*(N$10:N168="OK")*(F$10:F168)))+IF(C169="Squat",Settings!$B$12,IF(C169="Bench Press",Settings!$B$13,IF(C169="Deadlift",Settings!$B$14,IF(C169="Overhead Press",Settings!$B$15,IF(C169="Power Clean",Settings!$B$16,0)))))))))</f>
      </c>
      <c r="F169" s="28" t="s">
        <v>0</v>
      </c>
      <c r="G169" s="28" t="s">
        <v>0</v>
      </c>
      <c r="H169" s="28" t="s">
        <v>0</v>
      </c>
      <c r="I169" s="28" t="s">
        <v>0</v>
      </c>
      <c r="J169" s="44" t="s">
        <v>0</v>
      </c>
      <c r="K169" s="44" t="s">
        <v>0</v>
      </c>
      <c r="L169" s="43">
        <f>IF(C169="","",SUM(G169:K169))</f>
      </c>
      <c r="M169" s="43">
        <f>IF(C169="","",IF(NOT(OR(C169="Squat",C169="Bench Press",C169="Deadlift",C169="Overhead Press",C169="Power Clean",C169="Light Squat")),30,IF(OR(C169="Squat",C169="Bench Press",C169="Overhead Press",C169="Light Squat"),15,IF(C169="Deadlift",5,IF(C169="Power Clean",15,0)))))</f>
      </c>
      <c r="N169" s="43">
        <f>IF(C169="","",IF(NOT(OR(C169="Squat",C169="Bench Press",C169="Deadlift",C169="Overhead Press",C169="Power Clean",C169="Light Squat")),"—",IF(L169&gt;=M169,"OK","STALL")))</f>
      </c>
      <c r="O169" s="43" t="s">
        <v>0</v>
      </c>
      <c r="P169" s="43">
        <f>IF($C169="Squat",$F169,0)</f>
      </c>
      <c r="Q169" s="43">
        <f>IF($C169="Bench Press",$F169,0)</f>
      </c>
      <c r="R169" s="43">
        <f>IF($C169="Deadlift",$F169,0)</f>
      </c>
      <c r="S169" s="43">
        <f>IF($C169="Overhead Press",$F169,0)</f>
      </c>
      <c r="T169" s="43">
        <f>IF($C169="Power Clean",$F169,0)</f>
      </c>
    </row>
    <row r="170" spans="1:20" x14ac:dyDescent="0.25">
      <c r="A170" s="28" t="s">
        <v>0</v>
      </c>
      <c r="B170" s="28" t="s">
        <v>0</v>
      </c>
      <c r="C170" s="28" t="s">
        <v>0</v>
      </c>
      <c r="D170" s="43">
        <f>IF(C170="","",IF(OR(C170="Squat",C170="Bench Press",C170="Overhead Press",C170="Light Squat"),"3x5",IF(C170="Deadlift","1x5",IF(C170="Power Clean","5x3","3x10"))))</f>
      </c>
      <c r="E170" s="43">
        <f>IF(C170="","",IF(NOT(OR(C170="Squat",C170="Bench Press",C170="Deadlift",C170="Overhead Press",C170="Power Clean",C170="Light Squat")),"—",IF(C170="Light Squat",IF(COUNTIF(C$10:C169,"Light Squat")=0,ROUND(SUMPRODUCT(MAX((C$10:C169="Squat")*(N$10:N169="OK")*(F$10:F169)))*Settings!$B$37/100/5,0)*5,IF(SUMPRODUCT((C$10:C169="Light Squat")*(N$10:N169="OK")*1)=0,ROUND(SUMPRODUCT(MAX((C$10:C169="Squat")*(N$10:N169="OK")*(F$10:F169)))*Settings!$B$37/100/5,0)*5,SUMPRODUCT(MAX((C$10:C169="Light Squat")*(N$10:N169="OK")*(F$10:F169)))+Settings!$B$38)),IF(SUMPRODUCT((C$10:C169=C170)*(N$10:N169="OK")*1)=0,IF(C170="Squat",Settings!$B$5,IF(C170="Bench Press",Settings!$B$6,IF(C170="Deadlift",Settings!$B$7,IF(C170="Overhead Press",Settings!$B$8,IF(C170="Power Clean",Settings!$B$9,0))))),SUMPRODUCT(MAX((C$10:C169=C170)*(N$10:N169="OK")*(F$10:F169)))+IF(C170="Squat",Settings!$B$12,IF(C170="Bench Press",Settings!$B$13,IF(C170="Deadlift",Settings!$B$14,IF(C170="Overhead Press",Settings!$B$15,IF(C170="Power Clean",Settings!$B$16,0)))))))))</f>
      </c>
      <c r="F170" s="28" t="s">
        <v>0</v>
      </c>
      <c r="G170" s="28" t="s">
        <v>0</v>
      </c>
      <c r="H170" s="28" t="s">
        <v>0</v>
      </c>
      <c r="I170" s="28" t="s">
        <v>0</v>
      </c>
      <c r="J170" s="44" t="s">
        <v>0</v>
      </c>
      <c r="K170" s="44" t="s">
        <v>0</v>
      </c>
      <c r="L170" s="43">
        <f>IF(C170="","",SUM(G170:K170))</f>
      </c>
      <c r="M170" s="43">
        <f>IF(C170="","",IF(NOT(OR(C170="Squat",C170="Bench Press",C170="Deadlift",C170="Overhead Press",C170="Power Clean",C170="Light Squat")),30,IF(OR(C170="Squat",C170="Bench Press",C170="Overhead Press",C170="Light Squat"),15,IF(C170="Deadlift",5,IF(C170="Power Clean",15,0)))))</f>
      </c>
      <c r="N170" s="43">
        <f>IF(C170="","",IF(NOT(OR(C170="Squat",C170="Bench Press",C170="Deadlift",C170="Overhead Press",C170="Power Clean",C170="Light Squat")),"—",IF(L170&gt;=M170,"OK","STALL")))</f>
      </c>
      <c r="O170" s="43" t="s">
        <v>0</v>
      </c>
      <c r="P170" s="43">
        <f>IF($C170="Squat",$F170,0)</f>
      </c>
      <c r="Q170" s="43">
        <f>IF($C170="Bench Press",$F170,0)</f>
      </c>
      <c r="R170" s="43">
        <f>IF($C170="Deadlift",$F170,0)</f>
      </c>
      <c r="S170" s="43">
        <f>IF($C170="Overhead Press",$F170,0)</f>
      </c>
      <c r="T170" s="43">
        <f>IF($C170="Power Clean",$F170,0)</f>
      </c>
    </row>
    <row r="171" spans="1:20" x14ac:dyDescent="0.25">
      <c r="A171" s="28" t="s">
        <v>0</v>
      </c>
      <c r="B171" s="28" t="s">
        <v>0</v>
      </c>
      <c r="C171" s="28" t="s">
        <v>0</v>
      </c>
      <c r="D171" s="43">
        <f>IF(C171="","",IF(OR(C171="Squat",C171="Bench Press",C171="Overhead Press",C171="Light Squat"),"3x5",IF(C171="Deadlift","1x5",IF(C171="Power Clean","5x3","3x10"))))</f>
      </c>
      <c r="E171" s="43">
        <f>IF(C171="","",IF(NOT(OR(C171="Squat",C171="Bench Press",C171="Deadlift",C171="Overhead Press",C171="Power Clean",C171="Light Squat")),"—",IF(C171="Light Squat",IF(COUNTIF(C$10:C170,"Light Squat")=0,ROUND(SUMPRODUCT(MAX((C$10:C170="Squat")*(N$10:N170="OK")*(F$10:F170)))*Settings!$B$37/100/5,0)*5,IF(SUMPRODUCT((C$10:C170="Light Squat")*(N$10:N170="OK")*1)=0,ROUND(SUMPRODUCT(MAX((C$10:C170="Squat")*(N$10:N170="OK")*(F$10:F170)))*Settings!$B$37/100/5,0)*5,SUMPRODUCT(MAX((C$10:C170="Light Squat")*(N$10:N170="OK")*(F$10:F170)))+Settings!$B$38)),IF(SUMPRODUCT((C$10:C170=C171)*(N$10:N170="OK")*1)=0,IF(C171="Squat",Settings!$B$5,IF(C171="Bench Press",Settings!$B$6,IF(C171="Deadlift",Settings!$B$7,IF(C171="Overhead Press",Settings!$B$8,IF(C171="Power Clean",Settings!$B$9,0))))),SUMPRODUCT(MAX((C$10:C170=C171)*(N$10:N170="OK")*(F$10:F170)))+IF(C171="Squat",Settings!$B$12,IF(C171="Bench Press",Settings!$B$13,IF(C171="Deadlift",Settings!$B$14,IF(C171="Overhead Press",Settings!$B$15,IF(C171="Power Clean",Settings!$B$16,0)))))))))</f>
      </c>
      <c r="F171" s="28" t="s">
        <v>0</v>
      </c>
      <c r="G171" s="28" t="s">
        <v>0</v>
      </c>
      <c r="H171" s="28" t="s">
        <v>0</v>
      </c>
      <c r="I171" s="28" t="s">
        <v>0</v>
      </c>
      <c r="J171" s="44" t="s">
        <v>0</v>
      </c>
      <c r="K171" s="44" t="s">
        <v>0</v>
      </c>
      <c r="L171" s="43">
        <f>IF(C171="","",SUM(G171:K171))</f>
      </c>
      <c r="M171" s="43">
        <f>IF(C171="","",IF(NOT(OR(C171="Squat",C171="Bench Press",C171="Deadlift",C171="Overhead Press",C171="Power Clean",C171="Light Squat")),30,IF(OR(C171="Squat",C171="Bench Press",C171="Overhead Press",C171="Light Squat"),15,IF(C171="Deadlift",5,IF(C171="Power Clean",15,0)))))</f>
      </c>
      <c r="N171" s="43">
        <f>IF(C171="","",IF(NOT(OR(C171="Squat",C171="Bench Press",C171="Deadlift",C171="Overhead Press",C171="Power Clean",C171="Light Squat")),"—",IF(L171&gt;=M171,"OK","STALL")))</f>
      </c>
      <c r="O171" s="43" t="s">
        <v>0</v>
      </c>
      <c r="P171" s="43">
        <f>IF($C171="Squat",$F171,0)</f>
      </c>
      <c r="Q171" s="43">
        <f>IF($C171="Bench Press",$F171,0)</f>
      </c>
      <c r="R171" s="43">
        <f>IF($C171="Deadlift",$F171,0)</f>
      </c>
      <c r="S171" s="43">
        <f>IF($C171="Overhead Press",$F171,0)</f>
      </c>
      <c r="T171" s="43">
        <f>IF($C171="Power Clean",$F171,0)</f>
      </c>
    </row>
    <row r="172" spans="1:20" x14ac:dyDescent="0.25">
      <c r="A172" s="28" t="s">
        <v>0</v>
      </c>
      <c r="B172" s="28" t="s">
        <v>0</v>
      </c>
      <c r="C172" s="28" t="s">
        <v>0</v>
      </c>
      <c r="D172" s="43">
        <f>IF(C172="","",IF(OR(C172="Squat",C172="Bench Press",C172="Overhead Press",C172="Light Squat"),"3x5",IF(C172="Deadlift","1x5",IF(C172="Power Clean","5x3","3x10"))))</f>
      </c>
      <c r="E172" s="43">
        <f>IF(C172="","",IF(NOT(OR(C172="Squat",C172="Bench Press",C172="Deadlift",C172="Overhead Press",C172="Power Clean",C172="Light Squat")),"—",IF(C172="Light Squat",IF(COUNTIF(C$10:C171,"Light Squat")=0,ROUND(SUMPRODUCT(MAX((C$10:C171="Squat")*(N$10:N171="OK")*(F$10:F171)))*Settings!$B$37/100/5,0)*5,IF(SUMPRODUCT((C$10:C171="Light Squat")*(N$10:N171="OK")*1)=0,ROUND(SUMPRODUCT(MAX((C$10:C171="Squat")*(N$10:N171="OK")*(F$10:F171)))*Settings!$B$37/100/5,0)*5,SUMPRODUCT(MAX((C$10:C171="Light Squat")*(N$10:N171="OK")*(F$10:F171)))+Settings!$B$38)),IF(SUMPRODUCT((C$10:C171=C172)*(N$10:N171="OK")*1)=0,IF(C172="Squat",Settings!$B$5,IF(C172="Bench Press",Settings!$B$6,IF(C172="Deadlift",Settings!$B$7,IF(C172="Overhead Press",Settings!$B$8,IF(C172="Power Clean",Settings!$B$9,0))))),SUMPRODUCT(MAX((C$10:C171=C172)*(N$10:N171="OK")*(F$10:F171)))+IF(C172="Squat",Settings!$B$12,IF(C172="Bench Press",Settings!$B$13,IF(C172="Deadlift",Settings!$B$14,IF(C172="Overhead Press",Settings!$B$15,IF(C172="Power Clean",Settings!$B$16,0)))))))))</f>
      </c>
      <c r="F172" s="28" t="s">
        <v>0</v>
      </c>
      <c r="G172" s="28" t="s">
        <v>0</v>
      </c>
      <c r="H172" s="28" t="s">
        <v>0</v>
      </c>
      <c r="I172" s="28" t="s">
        <v>0</v>
      </c>
      <c r="J172" s="44" t="s">
        <v>0</v>
      </c>
      <c r="K172" s="44" t="s">
        <v>0</v>
      </c>
      <c r="L172" s="43">
        <f>IF(C172="","",SUM(G172:K172))</f>
      </c>
      <c r="M172" s="43">
        <f>IF(C172="","",IF(NOT(OR(C172="Squat",C172="Bench Press",C172="Deadlift",C172="Overhead Press",C172="Power Clean",C172="Light Squat")),30,IF(OR(C172="Squat",C172="Bench Press",C172="Overhead Press",C172="Light Squat"),15,IF(C172="Deadlift",5,IF(C172="Power Clean",15,0)))))</f>
      </c>
      <c r="N172" s="43">
        <f>IF(C172="","",IF(NOT(OR(C172="Squat",C172="Bench Press",C172="Deadlift",C172="Overhead Press",C172="Power Clean",C172="Light Squat")),"—",IF(L172&gt;=M172,"OK","STALL")))</f>
      </c>
      <c r="O172" s="43" t="s">
        <v>0</v>
      </c>
      <c r="P172" s="43">
        <f>IF($C172="Squat",$F172,0)</f>
      </c>
      <c r="Q172" s="43">
        <f>IF($C172="Bench Press",$F172,0)</f>
      </c>
      <c r="R172" s="43">
        <f>IF($C172="Deadlift",$F172,0)</f>
      </c>
      <c r="S172" s="43">
        <f>IF($C172="Overhead Press",$F172,0)</f>
      </c>
      <c r="T172" s="43">
        <f>IF($C172="Power Clean",$F172,0)</f>
      </c>
    </row>
    <row r="173" spans="1:20" x14ac:dyDescent="0.25">
      <c r="A173" s="28" t="s">
        <v>0</v>
      </c>
      <c r="B173" s="28" t="s">
        <v>0</v>
      </c>
      <c r="C173" s="28" t="s">
        <v>0</v>
      </c>
      <c r="D173" s="43">
        <f>IF(C173="","",IF(OR(C173="Squat",C173="Bench Press",C173="Overhead Press",C173="Light Squat"),"3x5",IF(C173="Deadlift","1x5",IF(C173="Power Clean","5x3","3x10"))))</f>
      </c>
      <c r="E173" s="43">
        <f>IF(C173="","",IF(NOT(OR(C173="Squat",C173="Bench Press",C173="Deadlift",C173="Overhead Press",C173="Power Clean",C173="Light Squat")),"—",IF(C173="Light Squat",IF(COUNTIF(C$10:C172,"Light Squat")=0,ROUND(SUMPRODUCT(MAX((C$10:C172="Squat")*(N$10:N172="OK")*(F$10:F172)))*Settings!$B$37/100/5,0)*5,IF(SUMPRODUCT((C$10:C172="Light Squat")*(N$10:N172="OK")*1)=0,ROUND(SUMPRODUCT(MAX((C$10:C172="Squat")*(N$10:N172="OK")*(F$10:F172)))*Settings!$B$37/100/5,0)*5,SUMPRODUCT(MAX((C$10:C172="Light Squat")*(N$10:N172="OK")*(F$10:F172)))+Settings!$B$38)),IF(SUMPRODUCT((C$10:C172=C173)*(N$10:N172="OK")*1)=0,IF(C173="Squat",Settings!$B$5,IF(C173="Bench Press",Settings!$B$6,IF(C173="Deadlift",Settings!$B$7,IF(C173="Overhead Press",Settings!$B$8,IF(C173="Power Clean",Settings!$B$9,0))))),SUMPRODUCT(MAX((C$10:C172=C173)*(N$10:N172="OK")*(F$10:F172)))+IF(C173="Squat",Settings!$B$12,IF(C173="Bench Press",Settings!$B$13,IF(C173="Deadlift",Settings!$B$14,IF(C173="Overhead Press",Settings!$B$15,IF(C173="Power Clean",Settings!$B$16,0)))))))))</f>
      </c>
      <c r="F173" s="28" t="s">
        <v>0</v>
      </c>
      <c r="G173" s="28" t="s">
        <v>0</v>
      </c>
      <c r="H173" s="28" t="s">
        <v>0</v>
      </c>
      <c r="I173" s="28" t="s">
        <v>0</v>
      </c>
      <c r="J173" s="44" t="s">
        <v>0</v>
      </c>
      <c r="K173" s="44" t="s">
        <v>0</v>
      </c>
      <c r="L173" s="43">
        <f>IF(C173="","",SUM(G173:K173))</f>
      </c>
      <c r="M173" s="43">
        <f>IF(C173="","",IF(NOT(OR(C173="Squat",C173="Bench Press",C173="Deadlift",C173="Overhead Press",C173="Power Clean",C173="Light Squat")),30,IF(OR(C173="Squat",C173="Bench Press",C173="Overhead Press",C173="Light Squat"),15,IF(C173="Deadlift",5,IF(C173="Power Clean",15,0)))))</f>
      </c>
      <c r="N173" s="43">
        <f>IF(C173="","",IF(NOT(OR(C173="Squat",C173="Bench Press",C173="Deadlift",C173="Overhead Press",C173="Power Clean",C173="Light Squat")),"—",IF(L173&gt;=M173,"OK","STALL")))</f>
      </c>
      <c r="O173" s="43" t="s">
        <v>0</v>
      </c>
      <c r="P173" s="43">
        <f>IF($C173="Squat",$F173,0)</f>
      </c>
      <c r="Q173" s="43">
        <f>IF($C173="Bench Press",$F173,0)</f>
      </c>
      <c r="R173" s="43">
        <f>IF($C173="Deadlift",$F173,0)</f>
      </c>
      <c r="S173" s="43">
        <f>IF($C173="Overhead Press",$F173,0)</f>
      </c>
      <c r="T173" s="43">
        <f>IF($C173="Power Clean",$F173,0)</f>
      </c>
    </row>
    <row r="174" spans="1:20" x14ac:dyDescent="0.25">
      <c r="A174" s="28" t="s">
        <v>0</v>
      </c>
      <c r="B174" s="28" t="s">
        <v>0</v>
      </c>
      <c r="C174" s="28" t="s">
        <v>0</v>
      </c>
      <c r="D174" s="43">
        <f>IF(C174="","",IF(OR(C174="Squat",C174="Bench Press",C174="Overhead Press",C174="Light Squat"),"3x5",IF(C174="Deadlift","1x5",IF(C174="Power Clean","5x3","3x10"))))</f>
      </c>
      <c r="E174" s="43">
        <f>IF(C174="","",IF(NOT(OR(C174="Squat",C174="Bench Press",C174="Deadlift",C174="Overhead Press",C174="Power Clean",C174="Light Squat")),"—",IF(C174="Light Squat",IF(COUNTIF(C$10:C173,"Light Squat")=0,ROUND(SUMPRODUCT(MAX((C$10:C173="Squat")*(N$10:N173="OK")*(F$10:F173)))*Settings!$B$37/100/5,0)*5,IF(SUMPRODUCT((C$10:C173="Light Squat")*(N$10:N173="OK")*1)=0,ROUND(SUMPRODUCT(MAX((C$10:C173="Squat")*(N$10:N173="OK")*(F$10:F173)))*Settings!$B$37/100/5,0)*5,SUMPRODUCT(MAX((C$10:C173="Light Squat")*(N$10:N173="OK")*(F$10:F173)))+Settings!$B$38)),IF(SUMPRODUCT((C$10:C173=C174)*(N$10:N173="OK")*1)=0,IF(C174="Squat",Settings!$B$5,IF(C174="Bench Press",Settings!$B$6,IF(C174="Deadlift",Settings!$B$7,IF(C174="Overhead Press",Settings!$B$8,IF(C174="Power Clean",Settings!$B$9,0))))),SUMPRODUCT(MAX((C$10:C173=C174)*(N$10:N173="OK")*(F$10:F173)))+IF(C174="Squat",Settings!$B$12,IF(C174="Bench Press",Settings!$B$13,IF(C174="Deadlift",Settings!$B$14,IF(C174="Overhead Press",Settings!$B$15,IF(C174="Power Clean",Settings!$B$16,0)))))))))</f>
      </c>
      <c r="F174" s="28" t="s">
        <v>0</v>
      </c>
      <c r="G174" s="28" t="s">
        <v>0</v>
      </c>
      <c r="H174" s="28" t="s">
        <v>0</v>
      </c>
      <c r="I174" s="28" t="s">
        <v>0</v>
      </c>
      <c r="J174" s="44" t="s">
        <v>0</v>
      </c>
      <c r="K174" s="44" t="s">
        <v>0</v>
      </c>
      <c r="L174" s="43">
        <f>IF(C174="","",SUM(G174:K174))</f>
      </c>
      <c r="M174" s="43">
        <f>IF(C174="","",IF(NOT(OR(C174="Squat",C174="Bench Press",C174="Deadlift",C174="Overhead Press",C174="Power Clean",C174="Light Squat")),30,IF(OR(C174="Squat",C174="Bench Press",C174="Overhead Press",C174="Light Squat"),15,IF(C174="Deadlift",5,IF(C174="Power Clean",15,0)))))</f>
      </c>
      <c r="N174" s="43">
        <f>IF(C174="","",IF(NOT(OR(C174="Squat",C174="Bench Press",C174="Deadlift",C174="Overhead Press",C174="Power Clean",C174="Light Squat")),"—",IF(L174&gt;=M174,"OK","STALL")))</f>
      </c>
      <c r="O174" s="43" t="s">
        <v>0</v>
      </c>
      <c r="P174" s="43">
        <f>IF($C174="Squat",$F174,0)</f>
      </c>
      <c r="Q174" s="43">
        <f>IF($C174="Bench Press",$F174,0)</f>
      </c>
      <c r="R174" s="43">
        <f>IF($C174="Deadlift",$F174,0)</f>
      </c>
      <c r="S174" s="43">
        <f>IF($C174="Overhead Press",$F174,0)</f>
      </c>
      <c r="T174" s="43">
        <f>IF($C174="Power Clean",$F174,0)</f>
      </c>
    </row>
    <row r="175" spans="1:20" x14ac:dyDescent="0.25">
      <c r="A175" s="28" t="s">
        <v>0</v>
      </c>
      <c r="B175" s="28" t="s">
        <v>0</v>
      </c>
      <c r="C175" s="28" t="s">
        <v>0</v>
      </c>
      <c r="D175" s="43">
        <f>IF(C175="","",IF(OR(C175="Squat",C175="Bench Press",C175="Overhead Press",C175="Light Squat"),"3x5",IF(C175="Deadlift","1x5",IF(C175="Power Clean","5x3","3x10"))))</f>
      </c>
      <c r="E175" s="43">
        <f>IF(C175="","",IF(NOT(OR(C175="Squat",C175="Bench Press",C175="Deadlift",C175="Overhead Press",C175="Power Clean",C175="Light Squat")),"—",IF(C175="Light Squat",IF(COUNTIF(C$10:C174,"Light Squat")=0,ROUND(SUMPRODUCT(MAX((C$10:C174="Squat")*(N$10:N174="OK")*(F$10:F174)))*Settings!$B$37/100/5,0)*5,IF(SUMPRODUCT((C$10:C174="Light Squat")*(N$10:N174="OK")*1)=0,ROUND(SUMPRODUCT(MAX((C$10:C174="Squat")*(N$10:N174="OK")*(F$10:F174)))*Settings!$B$37/100/5,0)*5,SUMPRODUCT(MAX((C$10:C174="Light Squat")*(N$10:N174="OK")*(F$10:F174)))+Settings!$B$38)),IF(SUMPRODUCT((C$10:C174=C175)*(N$10:N174="OK")*1)=0,IF(C175="Squat",Settings!$B$5,IF(C175="Bench Press",Settings!$B$6,IF(C175="Deadlift",Settings!$B$7,IF(C175="Overhead Press",Settings!$B$8,IF(C175="Power Clean",Settings!$B$9,0))))),SUMPRODUCT(MAX((C$10:C174=C175)*(N$10:N174="OK")*(F$10:F174)))+IF(C175="Squat",Settings!$B$12,IF(C175="Bench Press",Settings!$B$13,IF(C175="Deadlift",Settings!$B$14,IF(C175="Overhead Press",Settings!$B$15,IF(C175="Power Clean",Settings!$B$16,0)))))))))</f>
      </c>
      <c r="F175" s="28" t="s">
        <v>0</v>
      </c>
      <c r="G175" s="28" t="s">
        <v>0</v>
      </c>
      <c r="H175" s="28" t="s">
        <v>0</v>
      </c>
      <c r="I175" s="28" t="s">
        <v>0</v>
      </c>
      <c r="J175" s="44" t="s">
        <v>0</v>
      </c>
      <c r="K175" s="44" t="s">
        <v>0</v>
      </c>
      <c r="L175" s="43">
        <f>IF(C175="","",SUM(G175:K175))</f>
      </c>
      <c r="M175" s="43">
        <f>IF(C175="","",IF(NOT(OR(C175="Squat",C175="Bench Press",C175="Deadlift",C175="Overhead Press",C175="Power Clean",C175="Light Squat")),30,IF(OR(C175="Squat",C175="Bench Press",C175="Overhead Press",C175="Light Squat"),15,IF(C175="Deadlift",5,IF(C175="Power Clean",15,0)))))</f>
      </c>
      <c r="N175" s="43">
        <f>IF(C175="","",IF(NOT(OR(C175="Squat",C175="Bench Press",C175="Deadlift",C175="Overhead Press",C175="Power Clean",C175="Light Squat")),"—",IF(L175&gt;=M175,"OK","STALL")))</f>
      </c>
      <c r="O175" s="43" t="s">
        <v>0</v>
      </c>
      <c r="P175" s="43">
        <f>IF($C175="Squat",$F175,0)</f>
      </c>
      <c r="Q175" s="43">
        <f>IF($C175="Bench Press",$F175,0)</f>
      </c>
      <c r="R175" s="43">
        <f>IF($C175="Deadlift",$F175,0)</f>
      </c>
      <c r="S175" s="43">
        <f>IF($C175="Overhead Press",$F175,0)</f>
      </c>
      <c r="T175" s="43">
        <f>IF($C175="Power Clean",$F175,0)</f>
      </c>
    </row>
    <row r="176" spans="1:20" x14ac:dyDescent="0.25">
      <c r="A176" s="28" t="s">
        <v>0</v>
      </c>
      <c r="B176" s="28" t="s">
        <v>0</v>
      </c>
      <c r="C176" s="28" t="s">
        <v>0</v>
      </c>
      <c r="D176" s="43">
        <f>IF(C176="","",IF(OR(C176="Squat",C176="Bench Press",C176="Overhead Press",C176="Light Squat"),"3x5",IF(C176="Deadlift","1x5",IF(C176="Power Clean","5x3","3x10"))))</f>
      </c>
      <c r="E176" s="43">
        <f>IF(C176="","",IF(NOT(OR(C176="Squat",C176="Bench Press",C176="Deadlift",C176="Overhead Press",C176="Power Clean",C176="Light Squat")),"—",IF(C176="Light Squat",IF(COUNTIF(C$10:C175,"Light Squat")=0,ROUND(SUMPRODUCT(MAX((C$10:C175="Squat")*(N$10:N175="OK")*(F$10:F175)))*Settings!$B$37/100/5,0)*5,IF(SUMPRODUCT((C$10:C175="Light Squat")*(N$10:N175="OK")*1)=0,ROUND(SUMPRODUCT(MAX((C$10:C175="Squat")*(N$10:N175="OK")*(F$10:F175)))*Settings!$B$37/100/5,0)*5,SUMPRODUCT(MAX((C$10:C175="Light Squat")*(N$10:N175="OK")*(F$10:F175)))+Settings!$B$38)),IF(SUMPRODUCT((C$10:C175=C176)*(N$10:N175="OK")*1)=0,IF(C176="Squat",Settings!$B$5,IF(C176="Bench Press",Settings!$B$6,IF(C176="Deadlift",Settings!$B$7,IF(C176="Overhead Press",Settings!$B$8,IF(C176="Power Clean",Settings!$B$9,0))))),SUMPRODUCT(MAX((C$10:C175=C176)*(N$10:N175="OK")*(F$10:F175)))+IF(C176="Squat",Settings!$B$12,IF(C176="Bench Press",Settings!$B$13,IF(C176="Deadlift",Settings!$B$14,IF(C176="Overhead Press",Settings!$B$15,IF(C176="Power Clean",Settings!$B$16,0)))))))))</f>
      </c>
      <c r="F176" s="28" t="s">
        <v>0</v>
      </c>
      <c r="G176" s="28" t="s">
        <v>0</v>
      </c>
      <c r="H176" s="28" t="s">
        <v>0</v>
      </c>
      <c r="I176" s="28" t="s">
        <v>0</v>
      </c>
      <c r="J176" s="44" t="s">
        <v>0</v>
      </c>
      <c r="K176" s="44" t="s">
        <v>0</v>
      </c>
      <c r="L176" s="43">
        <f>IF(C176="","",SUM(G176:K176))</f>
      </c>
      <c r="M176" s="43">
        <f>IF(C176="","",IF(NOT(OR(C176="Squat",C176="Bench Press",C176="Deadlift",C176="Overhead Press",C176="Power Clean",C176="Light Squat")),30,IF(OR(C176="Squat",C176="Bench Press",C176="Overhead Press",C176="Light Squat"),15,IF(C176="Deadlift",5,IF(C176="Power Clean",15,0)))))</f>
      </c>
      <c r="N176" s="43">
        <f>IF(C176="","",IF(NOT(OR(C176="Squat",C176="Bench Press",C176="Deadlift",C176="Overhead Press",C176="Power Clean",C176="Light Squat")),"—",IF(L176&gt;=M176,"OK","STALL")))</f>
      </c>
      <c r="O176" s="43" t="s">
        <v>0</v>
      </c>
      <c r="P176" s="43">
        <f>IF($C176="Squat",$F176,0)</f>
      </c>
      <c r="Q176" s="43">
        <f>IF($C176="Bench Press",$F176,0)</f>
      </c>
      <c r="R176" s="43">
        <f>IF($C176="Deadlift",$F176,0)</f>
      </c>
      <c r="S176" s="43">
        <f>IF($C176="Overhead Press",$F176,0)</f>
      </c>
      <c r="T176" s="43">
        <f>IF($C176="Power Clean",$F176,0)</f>
      </c>
    </row>
    <row r="177" spans="1:20" x14ac:dyDescent="0.25">
      <c r="A177" s="28" t="s">
        <v>0</v>
      </c>
      <c r="B177" s="28" t="s">
        <v>0</v>
      </c>
      <c r="C177" s="28" t="s">
        <v>0</v>
      </c>
      <c r="D177" s="43">
        <f>IF(C177="","",IF(OR(C177="Squat",C177="Bench Press",C177="Overhead Press",C177="Light Squat"),"3x5",IF(C177="Deadlift","1x5",IF(C177="Power Clean","5x3","3x10"))))</f>
      </c>
      <c r="E177" s="43">
        <f>IF(C177="","",IF(NOT(OR(C177="Squat",C177="Bench Press",C177="Deadlift",C177="Overhead Press",C177="Power Clean",C177="Light Squat")),"—",IF(C177="Light Squat",IF(COUNTIF(C$10:C176,"Light Squat")=0,ROUND(SUMPRODUCT(MAX((C$10:C176="Squat")*(N$10:N176="OK")*(F$10:F176)))*Settings!$B$37/100/5,0)*5,IF(SUMPRODUCT((C$10:C176="Light Squat")*(N$10:N176="OK")*1)=0,ROUND(SUMPRODUCT(MAX((C$10:C176="Squat")*(N$10:N176="OK")*(F$10:F176)))*Settings!$B$37/100/5,0)*5,SUMPRODUCT(MAX((C$10:C176="Light Squat")*(N$10:N176="OK")*(F$10:F176)))+Settings!$B$38)),IF(SUMPRODUCT((C$10:C176=C177)*(N$10:N176="OK")*1)=0,IF(C177="Squat",Settings!$B$5,IF(C177="Bench Press",Settings!$B$6,IF(C177="Deadlift",Settings!$B$7,IF(C177="Overhead Press",Settings!$B$8,IF(C177="Power Clean",Settings!$B$9,0))))),SUMPRODUCT(MAX((C$10:C176=C177)*(N$10:N176="OK")*(F$10:F176)))+IF(C177="Squat",Settings!$B$12,IF(C177="Bench Press",Settings!$B$13,IF(C177="Deadlift",Settings!$B$14,IF(C177="Overhead Press",Settings!$B$15,IF(C177="Power Clean",Settings!$B$16,0)))))))))</f>
      </c>
      <c r="F177" s="28" t="s">
        <v>0</v>
      </c>
      <c r="G177" s="28" t="s">
        <v>0</v>
      </c>
      <c r="H177" s="28" t="s">
        <v>0</v>
      </c>
      <c r="I177" s="28" t="s">
        <v>0</v>
      </c>
      <c r="J177" s="44" t="s">
        <v>0</v>
      </c>
      <c r="K177" s="44" t="s">
        <v>0</v>
      </c>
      <c r="L177" s="43">
        <f>IF(C177="","",SUM(G177:K177))</f>
      </c>
      <c r="M177" s="43">
        <f>IF(C177="","",IF(NOT(OR(C177="Squat",C177="Bench Press",C177="Deadlift",C177="Overhead Press",C177="Power Clean",C177="Light Squat")),30,IF(OR(C177="Squat",C177="Bench Press",C177="Overhead Press",C177="Light Squat"),15,IF(C177="Deadlift",5,IF(C177="Power Clean",15,0)))))</f>
      </c>
      <c r="N177" s="43">
        <f>IF(C177="","",IF(NOT(OR(C177="Squat",C177="Bench Press",C177="Deadlift",C177="Overhead Press",C177="Power Clean",C177="Light Squat")),"—",IF(L177&gt;=M177,"OK","STALL")))</f>
      </c>
      <c r="O177" s="43" t="s">
        <v>0</v>
      </c>
      <c r="P177" s="43">
        <f>IF($C177="Squat",$F177,0)</f>
      </c>
      <c r="Q177" s="43">
        <f>IF($C177="Bench Press",$F177,0)</f>
      </c>
      <c r="R177" s="43">
        <f>IF($C177="Deadlift",$F177,0)</f>
      </c>
      <c r="S177" s="43">
        <f>IF($C177="Overhead Press",$F177,0)</f>
      </c>
      <c r="T177" s="43">
        <f>IF($C177="Power Clean",$F177,0)</f>
      </c>
    </row>
    <row r="178" spans="1:20" x14ac:dyDescent="0.25">
      <c r="A178" s="28" t="s">
        <v>0</v>
      </c>
      <c r="B178" s="28" t="s">
        <v>0</v>
      </c>
      <c r="C178" s="28" t="s">
        <v>0</v>
      </c>
      <c r="D178" s="43">
        <f>IF(C178="","",IF(OR(C178="Squat",C178="Bench Press",C178="Overhead Press",C178="Light Squat"),"3x5",IF(C178="Deadlift","1x5",IF(C178="Power Clean","5x3","3x10"))))</f>
      </c>
      <c r="E178" s="43">
        <f>IF(C178="","",IF(NOT(OR(C178="Squat",C178="Bench Press",C178="Deadlift",C178="Overhead Press",C178="Power Clean",C178="Light Squat")),"—",IF(C178="Light Squat",IF(COUNTIF(C$10:C177,"Light Squat")=0,ROUND(SUMPRODUCT(MAX((C$10:C177="Squat")*(N$10:N177="OK")*(F$10:F177)))*Settings!$B$37/100/5,0)*5,IF(SUMPRODUCT((C$10:C177="Light Squat")*(N$10:N177="OK")*1)=0,ROUND(SUMPRODUCT(MAX((C$10:C177="Squat")*(N$10:N177="OK")*(F$10:F177)))*Settings!$B$37/100/5,0)*5,SUMPRODUCT(MAX((C$10:C177="Light Squat")*(N$10:N177="OK")*(F$10:F177)))+Settings!$B$38)),IF(SUMPRODUCT((C$10:C177=C178)*(N$10:N177="OK")*1)=0,IF(C178="Squat",Settings!$B$5,IF(C178="Bench Press",Settings!$B$6,IF(C178="Deadlift",Settings!$B$7,IF(C178="Overhead Press",Settings!$B$8,IF(C178="Power Clean",Settings!$B$9,0))))),SUMPRODUCT(MAX((C$10:C177=C178)*(N$10:N177="OK")*(F$10:F177)))+IF(C178="Squat",Settings!$B$12,IF(C178="Bench Press",Settings!$B$13,IF(C178="Deadlift",Settings!$B$14,IF(C178="Overhead Press",Settings!$B$15,IF(C178="Power Clean",Settings!$B$16,0)))))))))</f>
      </c>
      <c r="F178" s="28" t="s">
        <v>0</v>
      </c>
      <c r="G178" s="28" t="s">
        <v>0</v>
      </c>
      <c r="H178" s="28" t="s">
        <v>0</v>
      </c>
      <c r="I178" s="28" t="s">
        <v>0</v>
      </c>
      <c r="J178" s="44" t="s">
        <v>0</v>
      </c>
      <c r="K178" s="44" t="s">
        <v>0</v>
      </c>
      <c r="L178" s="43">
        <f>IF(C178="","",SUM(G178:K178))</f>
      </c>
      <c r="M178" s="43">
        <f>IF(C178="","",IF(NOT(OR(C178="Squat",C178="Bench Press",C178="Deadlift",C178="Overhead Press",C178="Power Clean",C178="Light Squat")),30,IF(OR(C178="Squat",C178="Bench Press",C178="Overhead Press",C178="Light Squat"),15,IF(C178="Deadlift",5,IF(C178="Power Clean",15,0)))))</f>
      </c>
      <c r="N178" s="43">
        <f>IF(C178="","",IF(NOT(OR(C178="Squat",C178="Bench Press",C178="Deadlift",C178="Overhead Press",C178="Power Clean",C178="Light Squat")),"—",IF(L178&gt;=M178,"OK","STALL")))</f>
      </c>
      <c r="O178" s="43" t="s">
        <v>0</v>
      </c>
      <c r="P178" s="43">
        <f>IF($C178="Squat",$F178,0)</f>
      </c>
      <c r="Q178" s="43">
        <f>IF($C178="Bench Press",$F178,0)</f>
      </c>
      <c r="R178" s="43">
        <f>IF($C178="Deadlift",$F178,0)</f>
      </c>
      <c r="S178" s="43">
        <f>IF($C178="Overhead Press",$F178,0)</f>
      </c>
      <c r="T178" s="43">
        <f>IF($C178="Power Clean",$F178,0)</f>
      </c>
    </row>
    <row r="179" spans="1:20" x14ac:dyDescent="0.25">
      <c r="A179" s="28" t="s">
        <v>0</v>
      </c>
      <c r="B179" s="28" t="s">
        <v>0</v>
      </c>
      <c r="C179" s="28" t="s">
        <v>0</v>
      </c>
      <c r="D179" s="43">
        <f>IF(C179="","",IF(OR(C179="Squat",C179="Bench Press",C179="Overhead Press",C179="Light Squat"),"3x5",IF(C179="Deadlift","1x5",IF(C179="Power Clean","5x3","3x10"))))</f>
      </c>
      <c r="E179" s="43">
        <f>IF(C179="","",IF(NOT(OR(C179="Squat",C179="Bench Press",C179="Deadlift",C179="Overhead Press",C179="Power Clean",C179="Light Squat")),"—",IF(C179="Light Squat",IF(COUNTIF(C$10:C178,"Light Squat")=0,ROUND(SUMPRODUCT(MAX((C$10:C178="Squat")*(N$10:N178="OK")*(F$10:F178)))*Settings!$B$37/100/5,0)*5,IF(SUMPRODUCT((C$10:C178="Light Squat")*(N$10:N178="OK")*1)=0,ROUND(SUMPRODUCT(MAX((C$10:C178="Squat")*(N$10:N178="OK")*(F$10:F178)))*Settings!$B$37/100/5,0)*5,SUMPRODUCT(MAX((C$10:C178="Light Squat")*(N$10:N178="OK")*(F$10:F178)))+Settings!$B$38)),IF(SUMPRODUCT((C$10:C178=C179)*(N$10:N178="OK")*1)=0,IF(C179="Squat",Settings!$B$5,IF(C179="Bench Press",Settings!$B$6,IF(C179="Deadlift",Settings!$B$7,IF(C179="Overhead Press",Settings!$B$8,IF(C179="Power Clean",Settings!$B$9,0))))),SUMPRODUCT(MAX((C$10:C178=C179)*(N$10:N178="OK")*(F$10:F178)))+IF(C179="Squat",Settings!$B$12,IF(C179="Bench Press",Settings!$B$13,IF(C179="Deadlift",Settings!$B$14,IF(C179="Overhead Press",Settings!$B$15,IF(C179="Power Clean",Settings!$B$16,0)))))))))</f>
      </c>
      <c r="F179" s="28" t="s">
        <v>0</v>
      </c>
      <c r="G179" s="28" t="s">
        <v>0</v>
      </c>
      <c r="H179" s="28" t="s">
        <v>0</v>
      </c>
      <c r="I179" s="28" t="s">
        <v>0</v>
      </c>
      <c r="J179" s="44" t="s">
        <v>0</v>
      </c>
      <c r="K179" s="44" t="s">
        <v>0</v>
      </c>
      <c r="L179" s="43">
        <f>IF(C179="","",SUM(G179:K179))</f>
      </c>
      <c r="M179" s="43">
        <f>IF(C179="","",IF(NOT(OR(C179="Squat",C179="Bench Press",C179="Deadlift",C179="Overhead Press",C179="Power Clean",C179="Light Squat")),30,IF(OR(C179="Squat",C179="Bench Press",C179="Overhead Press",C179="Light Squat"),15,IF(C179="Deadlift",5,IF(C179="Power Clean",15,0)))))</f>
      </c>
      <c r="N179" s="43">
        <f>IF(C179="","",IF(NOT(OR(C179="Squat",C179="Bench Press",C179="Deadlift",C179="Overhead Press",C179="Power Clean",C179="Light Squat")),"—",IF(L179&gt;=M179,"OK","STALL")))</f>
      </c>
      <c r="O179" s="43" t="s">
        <v>0</v>
      </c>
      <c r="P179" s="43">
        <f>IF($C179="Squat",$F179,0)</f>
      </c>
      <c r="Q179" s="43">
        <f>IF($C179="Bench Press",$F179,0)</f>
      </c>
      <c r="R179" s="43">
        <f>IF($C179="Deadlift",$F179,0)</f>
      </c>
      <c r="S179" s="43">
        <f>IF($C179="Overhead Press",$F179,0)</f>
      </c>
      <c r="T179" s="43">
        <f>IF($C179="Power Clean",$F179,0)</f>
      </c>
    </row>
    <row r="180" spans="1:20" x14ac:dyDescent="0.25">
      <c r="A180" s="28" t="s">
        <v>0</v>
      </c>
      <c r="B180" s="28" t="s">
        <v>0</v>
      </c>
      <c r="C180" s="28" t="s">
        <v>0</v>
      </c>
      <c r="D180" s="43">
        <f>IF(C180="","",IF(OR(C180="Squat",C180="Bench Press",C180="Overhead Press",C180="Light Squat"),"3x5",IF(C180="Deadlift","1x5",IF(C180="Power Clean","5x3","3x10"))))</f>
      </c>
      <c r="E180" s="43">
        <f>IF(C180="","",IF(NOT(OR(C180="Squat",C180="Bench Press",C180="Deadlift",C180="Overhead Press",C180="Power Clean",C180="Light Squat")),"—",IF(C180="Light Squat",IF(COUNTIF(C$10:C179,"Light Squat")=0,ROUND(SUMPRODUCT(MAX((C$10:C179="Squat")*(N$10:N179="OK")*(F$10:F179)))*Settings!$B$37/100/5,0)*5,IF(SUMPRODUCT((C$10:C179="Light Squat")*(N$10:N179="OK")*1)=0,ROUND(SUMPRODUCT(MAX((C$10:C179="Squat")*(N$10:N179="OK")*(F$10:F179)))*Settings!$B$37/100/5,0)*5,SUMPRODUCT(MAX((C$10:C179="Light Squat")*(N$10:N179="OK")*(F$10:F179)))+Settings!$B$38)),IF(SUMPRODUCT((C$10:C179=C180)*(N$10:N179="OK")*1)=0,IF(C180="Squat",Settings!$B$5,IF(C180="Bench Press",Settings!$B$6,IF(C180="Deadlift",Settings!$B$7,IF(C180="Overhead Press",Settings!$B$8,IF(C180="Power Clean",Settings!$B$9,0))))),SUMPRODUCT(MAX((C$10:C179=C180)*(N$10:N179="OK")*(F$10:F179)))+IF(C180="Squat",Settings!$B$12,IF(C180="Bench Press",Settings!$B$13,IF(C180="Deadlift",Settings!$B$14,IF(C180="Overhead Press",Settings!$B$15,IF(C180="Power Clean",Settings!$B$16,0)))))))))</f>
      </c>
      <c r="F180" s="28" t="s">
        <v>0</v>
      </c>
      <c r="G180" s="28" t="s">
        <v>0</v>
      </c>
      <c r="H180" s="28" t="s">
        <v>0</v>
      </c>
      <c r="I180" s="28" t="s">
        <v>0</v>
      </c>
      <c r="J180" s="44" t="s">
        <v>0</v>
      </c>
      <c r="K180" s="44" t="s">
        <v>0</v>
      </c>
      <c r="L180" s="43">
        <f>IF(C180="","",SUM(G180:K180))</f>
      </c>
      <c r="M180" s="43">
        <f>IF(C180="","",IF(NOT(OR(C180="Squat",C180="Bench Press",C180="Deadlift",C180="Overhead Press",C180="Power Clean",C180="Light Squat")),30,IF(OR(C180="Squat",C180="Bench Press",C180="Overhead Press",C180="Light Squat"),15,IF(C180="Deadlift",5,IF(C180="Power Clean",15,0)))))</f>
      </c>
      <c r="N180" s="43">
        <f>IF(C180="","",IF(NOT(OR(C180="Squat",C180="Bench Press",C180="Deadlift",C180="Overhead Press",C180="Power Clean",C180="Light Squat")),"—",IF(L180&gt;=M180,"OK","STALL")))</f>
      </c>
      <c r="O180" s="43" t="s">
        <v>0</v>
      </c>
      <c r="P180" s="43">
        <f>IF($C180="Squat",$F180,0)</f>
      </c>
      <c r="Q180" s="43">
        <f>IF($C180="Bench Press",$F180,0)</f>
      </c>
      <c r="R180" s="43">
        <f>IF($C180="Deadlift",$F180,0)</f>
      </c>
      <c r="S180" s="43">
        <f>IF($C180="Overhead Press",$F180,0)</f>
      </c>
      <c r="T180" s="43">
        <f>IF($C180="Power Clean",$F180,0)</f>
      </c>
    </row>
    <row r="181" spans="1:20" x14ac:dyDescent="0.25">
      <c r="A181" s="28" t="s">
        <v>0</v>
      </c>
      <c r="B181" s="28" t="s">
        <v>0</v>
      </c>
      <c r="C181" s="28" t="s">
        <v>0</v>
      </c>
      <c r="D181" s="43">
        <f>IF(C181="","",IF(OR(C181="Squat",C181="Bench Press",C181="Overhead Press",C181="Light Squat"),"3x5",IF(C181="Deadlift","1x5",IF(C181="Power Clean","5x3","3x10"))))</f>
      </c>
      <c r="E181" s="43">
        <f>IF(C181="","",IF(NOT(OR(C181="Squat",C181="Bench Press",C181="Deadlift",C181="Overhead Press",C181="Power Clean",C181="Light Squat")),"—",IF(C181="Light Squat",IF(COUNTIF(C$10:C180,"Light Squat")=0,ROUND(SUMPRODUCT(MAX((C$10:C180="Squat")*(N$10:N180="OK")*(F$10:F180)))*Settings!$B$37/100/5,0)*5,IF(SUMPRODUCT((C$10:C180="Light Squat")*(N$10:N180="OK")*1)=0,ROUND(SUMPRODUCT(MAX((C$10:C180="Squat")*(N$10:N180="OK")*(F$10:F180)))*Settings!$B$37/100/5,0)*5,SUMPRODUCT(MAX((C$10:C180="Light Squat")*(N$10:N180="OK")*(F$10:F180)))+Settings!$B$38)),IF(SUMPRODUCT((C$10:C180=C181)*(N$10:N180="OK")*1)=0,IF(C181="Squat",Settings!$B$5,IF(C181="Bench Press",Settings!$B$6,IF(C181="Deadlift",Settings!$B$7,IF(C181="Overhead Press",Settings!$B$8,IF(C181="Power Clean",Settings!$B$9,0))))),SUMPRODUCT(MAX((C$10:C180=C181)*(N$10:N180="OK")*(F$10:F180)))+IF(C181="Squat",Settings!$B$12,IF(C181="Bench Press",Settings!$B$13,IF(C181="Deadlift",Settings!$B$14,IF(C181="Overhead Press",Settings!$B$15,IF(C181="Power Clean",Settings!$B$16,0)))))))))</f>
      </c>
      <c r="F181" s="28" t="s">
        <v>0</v>
      </c>
      <c r="G181" s="28" t="s">
        <v>0</v>
      </c>
      <c r="H181" s="28" t="s">
        <v>0</v>
      </c>
      <c r="I181" s="28" t="s">
        <v>0</v>
      </c>
      <c r="J181" s="44" t="s">
        <v>0</v>
      </c>
      <c r="K181" s="44" t="s">
        <v>0</v>
      </c>
      <c r="L181" s="43">
        <f>IF(C181="","",SUM(G181:K181))</f>
      </c>
      <c r="M181" s="43">
        <f>IF(C181="","",IF(NOT(OR(C181="Squat",C181="Bench Press",C181="Deadlift",C181="Overhead Press",C181="Power Clean",C181="Light Squat")),30,IF(OR(C181="Squat",C181="Bench Press",C181="Overhead Press",C181="Light Squat"),15,IF(C181="Deadlift",5,IF(C181="Power Clean",15,0)))))</f>
      </c>
      <c r="N181" s="43">
        <f>IF(C181="","",IF(NOT(OR(C181="Squat",C181="Bench Press",C181="Deadlift",C181="Overhead Press",C181="Power Clean",C181="Light Squat")),"—",IF(L181&gt;=M181,"OK","STALL")))</f>
      </c>
      <c r="O181" s="43" t="s">
        <v>0</v>
      </c>
      <c r="P181" s="43">
        <f>IF($C181="Squat",$F181,0)</f>
      </c>
      <c r="Q181" s="43">
        <f>IF($C181="Bench Press",$F181,0)</f>
      </c>
      <c r="R181" s="43">
        <f>IF($C181="Deadlift",$F181,0)</f>
      </c>
      <c r="S181" s="43">
        <f>IF($C181="Overhead Press",$F181,0)</f>
      </c>
      <c r="T181" s="43">
        <f>IF($C181="Power Clean",$F181,0)</f>
      </c>
    </row>
    <row r="182" spans="1:20" x14ac:dyDescent="0.25">
      <c r="A182" s="28" t="s">
        <v>0</v>
      </c>
      <c r="B182" s="28" t="s">
        <v>0</v>
      </c>
      <c r="C182" s="28" t="s">
        <v>0</v>
      </c>
      <c r="D182" s="43">
        <f>IF(C182="","",IF(OR(C182="Squat",C182="Bench Press",C182="Overhead Press",C182="Light Squat"),"3x5",IF(C182="Deadlift","1x5",IF(C182="Power Clean","5x3","3x10"))))</f>
      </c>
      <c r="E182" s="43">
        <f>IF(C182="","",IF(NOT(OR(C182="Squat",C182="Bench Press",C182="Deadlift",C182="Overhead Press",C182="Power Clean",C182="Light Squat")),"—",IF(C182="Light Squat",IF(COUNTIF(C$10:C181,"Light Squat")=0,ROUND(SUMPRODUCT(MAX((C$10:C181="Squat")*(N$10:N181="OK")*(F$10:F181)))*Settings!$B$37/100/5,0)*5,IF(SUMPRODUCT((C$10:C181="Light Squat")*(N$10:N181="OK")*1)=0,ROUND(SUMPRODUCT(MAX((C$10:C181="Squat")*(N$10:N181="OK")*(F$10:F181)))*Settings!$B$37/100/5,0)*5,SUMPRODUCT(MAX((C$10:C181="Light Squat")*(N$10:N181="OK")*(F$10:F181)))+Settings!$B$38)),IF(SUMPRODUCT((C$10:C181=C182)*(N$10:N181="OK")*1)=0,IF(C182="Squat",Settings!$B$5,IF(C182="Bench Press",Settings!$B$6,IF(C182="Deadlift",Settings!$B$7,IF(C182="Overhead Press",Settings!$B$8,IF(C182="Power Clean",Settings!$B$9,0))))),SUMPRODUCT(MAX((C$10:C181=C182)*(N$10:N181="OK")*(F$10:F181)))+IF(C182="Squat",Settings!$B$12,IF(C182="Bench Press",Settings!$B$13,IF(C182="Deadlift",Settings!$B$14,IF(C182="Overhead Press",Settings!$B$15,IF(C182="Power Clean",Settings!$B$16,0)))))))))</f>
      </c>
      <c r="F182" s="28" t="s">
        <v>0</v>
      </c>
      <c r="G182" s="28" t="s">
        <v>0</v>
      </c>
      <c r="H182" s="28" t="s">
        <v>0</v>
      </c>
      <c r="I182" s="28" t="s">
        <v>0</v>
      </c>
      <c r="J182" s="44" t="s">
        <v>0</v>
      </c>
      <c r="K182" s="44" t="s">
        <v>0</v>
      </c>
      <c r="L182" s="43">
        <f>IF(C182="","",SUM(G182:K182))</f>
      </c>
      <c r="M182" s="43">
        <f>IF(C182="","",IF(NOT(OR(C182="Squat",C182="Bench Press",C182="Deadlift",C182="Overhead Press",C182="Power Clean",C182="Light Squat")),30,IF(OR(C182="Squat",C182="Bench Press",C182="Overhead Press",C182="Light Squat"),15,IF(C182="Deadlift",5,IF(C182="Power Clean",15,0)))))</f>
      </c>
      <c r="N182" s="43">
        <f>IF(C182="","",IF(NOT(OR(C182="Squat",C182="Bench Press",C182="Deadlift",C182="Overhead Press",C182="Power Clean",C182="Light Squat")),"—",IF(L182&gt;=M182,"OK","STALL")))</f>
      </c>
      <c r="O182" s="43" t="s">
        <v>0</v>
      </c>
      <c r="P182" s="43">
        <f>IF($C182="Squat",$F182,0)</f>
      </c>
      <c r="Q182" s="43">
        <f>IF($C182="Bench Press",$F182,0)</f>
      </c>
      <c r="R182" s="43">
        <f>IF($C182="Deadlift",$F182,0)</f>
      </c>
      <c r="S182" s="43">
        <f>IF($C182="Overhead Press",$F182,0)</f>
      </c>
      <c r="T182" s="43">
        <f>IF($C182="Power Clean",$F182,0)</f>
      </c>
    </row>
    <row r="183" spans="1:20" x14ac:dyDescent="0.25">
      <c r="A183" s="28" t="s">
        <v>0</v>
      </c>
      <c r="B183" s="28" t="s">
        <v>0</v>
      </c>
      <c r="C183" s="28" t="s">
        <v>0</v>
      </c>
      <c r="D183" s="43">
        <f>IF(C183="","",IF(OR(C183="Squat",C183="Bench Press",C183="Overhead Press",C183="Light Squat"),"3x5",IF(C183="Deadlift","1x5",IF(C183="Power Clean","5x3","3x10"))))</f>
      </c>
      <c r="E183" s="43">
        <f>IF(C183="","",IF(NOT(OR(C183="Squat",C183="Bench Press",C183="Deadlift",C183="Overhead Press",C183="Power Clean",C183="Light Squat")),"—",IF(C183="Light Squat",IF(COUNTIF(C$10:C182,"Light Squat")=0,ROUND(SUMPRODUCT(MAX((C$10:C182="Squat")*(N$10:N182="OK")*(F$10:F182)))*Settings!$B$37/100/5,0)*5,IF(SUMPRODUCT((C$10:C182="Light Squat")*(N$10:N182="OK")*1)=0,ROUND(SUMPRODUCT(MAX((C$10:C182="Squat")*(N$10:N182="OK")*(F$10:F182)))*Settings!$B$37/100/5,0)*5,SUMPRODUCT(MAX((C$10:C182="Light Squat")*(N$10:N182="OK")*(F$10:F182)))+Settings!$B$38)),IF(SUMPRODUCT((C$10:C182=C183)*(N$10:N182="OK")*1)=0,IF(C183="Squat",Settings!$B$5,IF(C183="Bench Press",Settings!$B$6,IF(C183="Deadlift",Settings!$B$7,IF(C183="Overhead Press",Settings!$B$8,IF(C183="Power Clean",Settings!$B$9,0))))),SUMPRODUCT(MAX((C$10:C182=C183)*(N$10:N182="OK")*(F$10:F182)))+IF(C183="Squat",Settings!$B$12,IF(C183="Bench Press",Settings!$B$13,IF(C183="Deadlift",Settings!$B$14,IF(C183="Overhead Press",Settings!$B$15,IF(C183="Power Clean",Settings!$B$16,0)))))))))</f>
      </c>
      <c r="F183" s="28" t="s">
        <v>0</v>
      </c>
      <c r="G183" s="28" t="s">
        <v>0</v>
      </c>
      <c r="H183" s="28" t="s">
        <v>0</v>
      </c>
      <c r="I183" s="28" t="s">
        <v>0</v>
      </c>
      <c r="J183" s="44" t="s">
        <v>0</v>
      </c>
      <c r="K183" s="44" t="s">
        <v>0</v>
      </c>
      <c r="L183" s="43">
        <f>IF(C183="","",SUM(G183:K183))</f>
      </c>
      <c r="M183" s="43">
        <f>IF(C183="","",IF(NOT(OR(C183="Squat",C183="Bench Press",C183="Deadlift",C183="Overhead Press",C183="Power Clean",C183="Light Squat")),30,IF(OR(C183="Squat",C183="Bench Press",C183="Overhead Press",C183="Light Squat"),15,IF(C183="Deadlift",5,IF(C183="Power Clean",15,0)))))</f>
      </c>
      <c r="N183" s="43">
        <f>IF(C183="","",IF(NOT(OR(C183="Squat",C183="Bench Press",C183="Deadlift",C183="Overhead Press",C183="Power Clean",C183="Light Squat")),"—",IF(L183&gt;=M183,"OK","STALL")))</f>
      </c>
      <c r="O183" s="43" t="s">
        <v>0</v>
      </c>
      <c r="P183" s="43">
        <f>IF($C183="Squat",$F183,0)</f>
      </c>
      <c r="Q183" s="43">
        <f>IF($C183="Bench Press",$F183,0)</f>
      </c>
      <c r="R183" s="43">
        <f>IF($C183="Deadlift",$F183,0)</f>
      </c>
      <c r="S183" s="43">
        <f>IF($C183="Overhead Press",$F183,0)</f>
      </c>
      <c r="T183" s="43">
        <f>IF($C183="Power Clean",$F183,0)</f>
      </c>
    </row>
    <row r="184" spans="1:20" x14ac:dyDescent="0.25">
      <c r="A184" s="28" t="s">
        <v>0</v>
      </c>
      <c r="B184" s="28" t="s">
        <v>0</v>
      </c>
      <c r="C184" s="28" t="s">
        <v>0</v>
      </c>
      <c r="D184" s="43">
        <f>IF(C184="","",IF(OR(C184="Squat",C184="Bench Press",C184="Overhead Press",C184="Light Squat"),"3x5",IF(C184="Deadlift","1x5",IF(C184="Power Clean","5x3","3x10"))))</f>
      </c>
      <c r="E184" s="43">
        <f>IF(C184="","",IF(NOT(OR(C184="Squat",C184="Bench Press",C184="Deadlift",C184="Overhead Press",C184="Power Clean",C184="Light Squat")),"—",IF(C184="Light Squat",IF(COUNTIF(C$10:C183,"Light Squat")=0,ROUND(SUMPRODUCT(MAX((C$10:C183="Squat")*(N$10:N183="OK")*(F$10:F183)))*Settings!$B$37/100/5,0)*5,IF(SUMPRODUCT((C$10:C183="Light Squat")*(N$10:N183="OK")*1)=0,ROUND(SUMPRODUCT(MAX((C$10:C183="Squat")*(N$10:N183="OK")*(F$10:F183)))*Settings!$B$37/100/5,0)*5,SUMPRODUCT(MAX((C$10:C183="Light Squat")*(N$10:N183="OK")*(F$10:F183)))+Settings!$B$38)),IF(SUMPRODUCT((C$10:C183=C184)*(N$10:N183="OK")*1)=0,IF(C184="Squat",Settings!$B$5,IF(C184="Bench Press",Settings!$B$6,IF(C184="Deadlift",Settings!$B$7,IF(C184="Overhead Press",Settings!$B$8,IF(C184="Power Clean",Settings!$B$9,0))))),SUMPRODUCT(MAX((C$10:C183=C184)*(N$10:N183="OK")*(F$10:F183)))+IF(C184="Squat",Settings!$B$12,IF(C184="Bench Press",Settings!$B$13,IF(C184="Deadlift",Settings!$B$14,IF(C184="Overhead Press",Settings!$B$15,IF(C184="Power Clean",Settings!$B$16,0)))))))))</f>
      </c>
      <c r="F184" s="28" t="s">
        <v>0</v>
      </c>
      <c r="G184" s="28" t="s">
        <v>0</v>
      </c>
      <c r="H184" s="28" t="s">
        <v>0</v>
      </c>
      <c r="I184" s="28" t="s">
        <v>0</v>
      </c>
      <c r="J184" s="44" t="s">
        <v>0</v>
      </c>
      <c r="K184" s="44" t="s">
        <v>0</v>
      </c>
      <c r="L184" s="43">
        <f>IF(C184="","",SUM(G184:K184))</f>
      </c>
      <c r="M184" s="43">
        <f>IF(C184="","",IF(NOT(OR(C184="Squat",C184="Bench Press",C184="Deadlift",C184="Overhead Press",C184="Power Clean",C184="Light Squat")),30,IF(OR(C184="Squat",C184="Bench Press",C184="Overhead Press",C184="Light Squat"),15,IF(C184="Deadlift",5,IF(C184="Power Clean",15,0)))))</f>
      </c>
      <c r="N184" s="43">
        <f>IF(C184="","",IF(NOT(OR(C184="Squat",C184="Bench Press",C184="Deadlift",C184="Overhead Press",C184="Power Clean",C184="Light Squat")),"—",IF(L184&gt;=M184,"OK","STALL")))</f>
      </c>
      <c r="O184" s="43" t="s">
        <v>0</v>
      </c>
      <c r="P184" s="43">
        <f>IF($C184="Squat",$F184,0)</f>
      </c>
      <c r="Q184" s="43">
        <f>IF($C184="Bench Press",$F184,0)</f>
      </c>
      <c r="R184" s="43">
        <f>IF($C184="Deadlift",$F184,0)</f>
      </c>
      <c r="S184" s="43">
        <f>IF($C184="Overhead Press",$F184,0)</f>
      </c>
      <c r="T184" s="43">
        <f>IF($C184="Power Clean",$F184,0)</f>
      </c>
    </row>
    <row r="185" spans="1:20" x14ac:dyDescent="0.25">
      <c r="A185" s="28" t="s">
        <v>0</v>
      </c>
      <c r="B185" s="28" t="s">
        <v>0</v>
      </c>
      <c r="C185" s="28" t="s">
        <v>0</v>
      </c>
      <c r="D185" s="43">
        <f>IF(C185="","",IF(OR(C185="Squat",C185="Bench Press",C185="Overhead Press",C185="Light Squat"),"3x5",IF(C185="Deadlift","1x5",IF(C185="Power Clean","5x3","3x10"))))</f>
      </c>
      <c r="E185" s="43">
        <f>IF(C185="","",IF(NOT(OR(C185="Squat",C185="Bench Press",C185="Deadlift",C185="Overhead Press",C185="Power Clean",C185="Light Squat")),"—",IF(C185="Light Squat",IF(COUNTIF(C$10:C184,"Light Squat")=0,ROUND(SUMPRODUCT(MAX((C$10:C184="Squat")*(N$10:N184="OK")*(F$10:F184)))*Settings!$B$37/100/5,0)*5,IF(SUMPRODUCT((C$10:C184="Light Squat")*(N$10:N184="OK")*1)=0,ROUND(SUMPRODUCT(MAX((C$10:C184="Squat")*(N$10:N184="OK")*(F$10:F184)))*Settings!$B$37/100/5,0)*5,SUMPRODUCT(MAX((C$10:C184="Light Squat")*(N$10:N184="OK")*(F$10:F184)))+Settings!$B$38)),IF(SUMPRODUCT((C$10:C184=C185)*(N$10:N184="OK")*1)=0,IF(C185="Squat",Settings!$B$5,IF(C185="Bench Press",Settings!$B$6,IF(C185="Deadlift",Settings!$B$7,IF(C185="Overhead Press",Settings!$B$8,IF(C185="Power Clean",Settings!$B$9,0))))),SUMPRODUCT(MAX((C$10:C184=C185)*(N$10:N184="OK")*(F$10:F184)))+IF(C185="Squat",Settings!$B$12,IF(C185="Bench Press",Settings!$B$13,IF(C185="Deadlift",Settings!$B$14,IF(C185="Overhead Press",Settings!$B$15,IF(C185="Power Clean",Settings!$B$16,0)))))))))</f>
      </c>
      <c r="F185" s="28" t="s">
        <v>0</v>
      </c>
      <c r="G185" s="28" t="s">
        <v>0</v>
      </c>
      <c r="H185" s="28" t="s">
        <v>0</v>
      </c>
      <c r="I185" s="28" t="s">
        <v>0</v>
      </c>
      <c r="J185" s="44" t="s">
        <v>0</v>
      </c>
      <c r="K185" s="44" t="s">
        <v>0</v>
      </c>
      <c r="L185" s="43">
        <f>IF(C185="","",SUM(G185:K185))</f>
      </c>
      <c r="M185" s="43">
        <f>IF(C185="","",IF(NOT(OR(C185="Squat",C185="Bench Press",C185="Deadlift",C185="Overhead Press",C185="Power Clean",C185="Light Squat")),30,IF(OR(C185="Squat",C185="Bench Press",C185="Overhead Press",C185="Light Squat"),15,IF(C185="Deadlift",5,IF(C185="Power Clean",15,0)))))</f>
      </c>
      <c r="N185" s="43">
        <f>IF(C185="","",IF(NOT(OR(C185="Squat",C185="Bench Press",C185="Deadlift",C185="Overhead Press",C185="Power Clean",C185="Light Squat")),"—",IF(L185&gt;=M185,"OK","STALL")))</f>
      </c>
      <c r="O185" s="43" t="s">
        <v>0</v>
      </c>
      <c r="P185" s="43">
        <f>IF($C185="Squat",$F185,0)</f>
      </c>
      <c r="Q185" s="43">
        <f>IF($C185="Bench Press",$F185,0)</f>
      </c>
      <c r="R185" s="43">
        <f>IF($C185="Deadlift",$F185,0)</f>
      </c>
      <c r="S185" s="43">
        <f>IF($C185="Overhead Press",$F185,0)</f>
      </c>
      <c r="T185" s="43">
        <f>IF($C185="Power Clean",$F185,0)</f>
      </c>
    </row>
    <row r="186" spans="1:20" x14ac:dyDescent="0.25">
      <c r="A186" s="28" t="s">
        <v>0</v>
      </c>
      <c r="B186" s="28" t="s">
        <v>0</v>
      </c>
      <c r="C186" s="28" t="s">
        <v>0</v>
      </c>
      <c r="D186" s="43">
        <f>IF(C186="","",IF(OR(C186="Squat",C186="Bench Press",C186="Overhead Press",C186="Light Squat"),"3x5",IF(C186="Deadlift","1x5",IF(C186="Power Clean","5x3","3x10"))))</f>
      </c>
      <c r="E186" s="43">
        <f>IF(C186="","",IF(NOT(OR(C186="Squat",C186="Bench Press",C186="Deadlift",C186="Overhead Press",C186="Power Clean",C186="Light Squat")),"—",IF(C186="Light Squat",IF(COUNTIF(C$10:C185,"Light Squat")=0,ROUND(SUMPRODUCT(MAX((C$10:C185="Squat")*(N$10:N185="OK")*(F$10:F185)))*Settings!$B$37/100/5,0)*5,IF(SUMPRODUCT((C$10:C185="Light Squat")*(N$10:N185="OK")*1)=0,ROUND(SUMPRODUCT(MAX((C$10:C185="Squat")*(N$10:N185="OK")*(F$10:F185)))*Settings!$B$37/100/5,0)*5,SUMPRODUCT(MAX((C$10:C185="Light Squat")*(N$10:N185="OK")*(F$10:F185)))+Settings!$B$38)),IF(SUMPRODUCT((C$10:C185=C186)*(N$10:N185="OK")*1)=0,IF(C186="Squat",Settings!$B$5,IF(C186="Bench Press",Settings!$B$6,IF(C186="Deadlift",Settings!$B$7,IF(C186="Overhead Press",Settings!$B$8,IF(C186="Power Clean",Settings!$B$9,0))))),SUMPRODUCT(MAX((C$10:C185=C186)*(N$10:N185="OK")*(F$10:F185)))+IF(C186="Squat",Settings!$B$12,IF(C186="Bench Press",Settings!$B$13,IF(C186="Deadlift",Settings!$B$14,IF(C186="Overhead Press",Settings!$B$15,IF(C186="Power Clean",Settings!$B$16,0)))))))))</f>
      </c>
      <c r="F186" s="28" t="s">
        <v>0</v>
      </c>
      <c r="G186" s="28" t="s">
        <v>0</v>
      </c>
      <c r="H186" s="28" t="s">
        <v>0</v>
      </c>
      <c r="I186" s="28" t="s">
        <v>0</v>
      </c>
      <c r="J186" s="44" t="s">
        <v>0</v>
      </c>
      <c r="K186" s="44" t="s">
        <v>0</v>
      </c>
      <c r="L186" s="43">
        <f>IF(C186="","",SUM(G186:K186))</f>
      </c>
      <c r="M186" s="43">
        <f>IF(C186="","",IF(NOT(OR(C186="Squat",C186="Bench Press",C186="Deadlift",C186="Overhead Press",C186="Power Clean",C186="Light Squat")),30,IF(OR(C186="Squat",C186="Bench Press",C186="Overhead Press",C186="Light Squat"),15,IF(C186="Deadlift",5,IF(C186="Power Clean",15,0)))))</f>
      </c>
      <c r="N186" s="43">
        <f>IF(C186="","",IF(NOT(OR(C186="Squat",C186="Bench Press",C186="Deadlift",C186="Overhead Press",C186="Power Clean",C186="Light Squat")),"—",IF(L186&gt;=M186,"OK","STALL")))</f>
      </c>
      <c r="O186" s="43" t="s">
        <v>0</v>
      </c>
      <c r="P186" s="43">
        <f>IF($C186="Squat",$F186,0)</f>
      </c>
      <c r="Q186" s="43">
        <f>IF($C186="Bench Press",$F186,0)</f>
      </c>
      <c r="R186" s="43">
        <f>IF($C186="Deadlift",$F186,0)</f>
      </c>
      <c r="S186" s="43">
        <f>IF($C186="Overhead Press",$F186,0)</f>
      </c>
      <c r="T186" s="43">
        <f>IF($C186="Power Clean",$F186,0)</f>
      </c>
    </row>
    <row r="187" spans="1:20" x14ac:dyDescent="0.25">
      <c r="A187" s="28" t="s">
        <v>0</v>
      </c>
      <c r="B187" s="28" t="s">
        <v>0</v>
      </c>
      <c r="C187" s="28" t="s">
        <v>0</v>
      </c>
      <c r="D187" s="43">
        <f>IF(C187="","",IF(OR(C187="Squat",C187="Bench Press",C187="Overhead Press",C187="Light Squat"),"3x5",IF(C187="Deadlift","1x5",IF(C187="Power Clean","5x3","3x10"))))</f>
      </c>
      <c r="E187" s="43">
        <f>IF(C187="","",IF(NOT(OR(C187="Squat",C187="Bench Press",C187="Deadlift",C187="Overhead Press",C187="Power Clean",C187="Light Squat")),"—",IF(C187="Light Squat",IF(COUNTIF(C$10:C186,"Light Squat")=0,ROUND(SUMPRODUCT(MAX((C$10:C186="Squat")*(N$10:N186="OK")*(F$10:F186)))*Settings!$B$37/100/5,0)*5,IF(SUMPRODUCT((C$10:C186="Light Squat")*(N$10:N186="OK")*1)=0,ROUND(SUMPRODUCT(MAX((C$10:C186="Squat")*(N$10:N186="OK")*(F$10:F186)))*Settings!$B$37/100/5,0)*5,SUMPRODUCT(MAX((C$10:C186="Light Squat")*(N$10:N186="OK")*(F$10:F186)))+Settings!$B$38)),IF(SUMPRODUCT((C$10:C186=C187)*(N$10:N186="OK")*1)=0,IF(C187="Squat",Settings!$B$5,IF(C187="Bench Press",Settings!$B$6,IF(C187="Deadlift",Settings!$B$7,IF(C187="Overhead Press",Settings!$B$8,IF(C187="Power Clean",Settings!$B$9,0))))),SUMPRODUCT(MAX((C$10:C186=C187)*(N$10:N186="OK")*(F$10:F186)))+IF(C187="Squat",Settings!$B$12,IF(C187="Bench Press",Settings!$B$13,IF(C187="Deadlift",Settings!$B$14,IF(C187="Overhead Press",Settings!$B$15,IF(C187="Power Clean",Settings!$B$16,0)))))))))</f>
      </c>
      <c r="F187" s="28" t="s">
        <v>0</v>
      </c>
      <c r="G187" s="28" t="s">
        <v>0</v>
      </c>
      <c r="H187" s="28" t="s">
        <v>0</v>
      </c>
      <c r="I187" s="28" t="s">
        <v>0</v>
      </c>
      <c r="J187" s="44" t="s">
        <v>0</v>
      </c>
      <c r="K187" s="44" t="s">
        <v>0</v>
      </c>
      <c r="L187" s="43">
        <f>IF(C187="","",SUM(G187:K187))</f>
      </c>
      <c r="M187" s="43">
        <f>IF(C187="","",IF(NOT(OR(C187="Squat",C187="Bench Press",C187="Deadlift",C187="Overhead Press",C187="Power Clean",C187="Light Squat")),30,IF(OR(C187="Squat",C187="Bench Press",C187="Overhead Press",C187="Light Squat"),15,IF(C187="Deadlift",5,IF(C187="Power Clean",15,0)))))</f>
      </c>
      <c r="N187" s="43">
        <f>IF(C187="","",IF(NOT(OR(C187="Squat",C187="Bench Press",C187="Deadlift",C187="Overhead Press",C187="Power Clean",C187="Light Squat")),"—",IF(L187&gt;=M187,"OK","STALL")))</f>
      </c>
      <c r="O187" s="43" t="s">
        <v>0</v>
      </c>
      <c r="P187" s="43">
        <f>IF($C187="Squat",$F187,0)</f>
      </c>
      <c r="Q187" s="43">
        <f>IF($C187="Bench Press",$F187,0)</f>
      </c>
      <c r="R187" s="43">
        <f>IF($C187="Deadlift",$F187,0)</f>
      </c>
      <c r="S187" s="43">
        <f>IF($C187="Overhead Press",$F187,0)</f>
      </c>
      <c r="T187" s="43">
        <f>IF($C187="Power Clean",$F187,0)</f>
      </c>
    </row>
    <row r="188" spans="1:20" x14ac:dyDescent="0.25">
      <c r="A188" s="28" t="s">
        <v>0</v>
      </c>
      <c r="B188" s="28" t="s">
        <v>0</v>
      </c>
      <c r="C188" s="28" t="s">
        <v>0</v>
      </c>
      <c r="D188" s="43">
        <f>IF(C188="","",IF(OR(C188="Squat",C188="Bench Press",C188="Overhead Press",C188="Light Squat"),"3x5",IF(C188="Deadlift","1x5",IF(C188="Power Clean","5x3","3x10"))))</f>
      </c>
      <c r="E188" s="43">
        <f>IF(C188="","",IF(NOT(OR(C188="Squat",C188="Bench Press",C188="Deadlift",C188="Overhead Press",C188="Power Clean",C188="Light Squat")),"—",IF(C188="Light Squat",IF(COUNTIF(C$10:C187,"Light Squat")=0,ROUND(SUMPRODUCT(MAX((C$10:C187="Squat")*(N$10:N187="OK")*(F$10:F187)))*Settings!$B$37/100/5,0)*5,IF(SUMPRODUCT((C$10:C187="Light Squat")*(N$10:N187="OK")*1)=0,ROUND(SUMPRODUCT(MAX((C$10:C187="Squat")*(N$10:N187="OK")*(F$10:F187)))*Settings!$B$37/100/5,0)*5,SUMPRODUCT(MAX((C$10:C187="Light Squat")*(N$10:N187="OK")*(F$10:F187)))+Settings!$B$38)),IF(SUMPRODUCT((C$10:C187=C188)*(N$10:N187="OK")*1)=0,IF(C188="Squat",Settings!$B$5,IF(C188="Bench Press",Settings!$B$6,IF(C188="Deadlift",Settings!$B$7,IF(C188="Overhead Press",Settings!$B$8,IF(C188="Power Clean",Settings!$B$9,0))))),SUMPRODUCT(MAX((C$10:C187=C188)*(N$10:N187="OK")*(F$10:F187)))+IF(C188="Squat",Settings!$B$12,IF(C188="Bench Press",Settings!$B$13,IF(C188="Deadlift",Settings!$B$14,IF(C188="Overhead Press",Settings!$B$15,IF(C188="Power Clean",Settings!$B$16,0)))))))))</f>
      </c>
      <c r="F188" s="28" t="s">
        <v>0</v>
      </c>
      <c r="G188" s="28" t="s">
        <v>0</v>
      </c>
      <c r="H188" s="28" t="s">
        <v>0</v>
      </c>
      <c r="I188" s="28" t="s">
        <v>0</v>
      </c>
      <c r="J188" s="44" t="s">
        <v>0</v>
      </c>
      <c r="K188" s="44" t="s">
        <v>0</v>
      </c>
      <c r="L188" s="43">
        <f>IF(C188="","",SUM(G188:K188))</f>
      </c>
      <c r="M188" s="43">
        <f>IF(C188="","",IF(NOT(OR(C188="Squat",C188="Bench Press",C188="Deadlift",C188="Overhead Press",C188="Power Clean",C188="Light Squat")),30,IF(OR(C188="Squat",C188="Bench Press",C188="Overhead Press",C188="Light Squat"),15,IF(C188="Deadlift",5,IF(C188="Power Clean",15,0)))))</f>
      </c>
      <c r="N188" s="43">
        <f>IF(C188="","",IF(NOT(OR(C188="Squat",C188="Bench Press",C188="Deadlift",C188="Overhead Press",C188="Power Clean",C188="Light Squat")),"—",IF(L188&gt;=M188,"OK","STALL")))</f>
      </c>
      <c r="O188" s="43" t="s">
        <v>0</v>
      </c>
      <c r="P188" s="43">
        <f>IF($C188="Squat",$F188,0)</f>
      </c>
      <c r="Q188" s="43">
        <f>IF($C188="Bench Press",$F188,0)</f>
      </c>
      <c r="R188" s="43">
        <f>IF($C188="Deadlift",$F188,0)</f>
      </c>
      <c r="S188" s="43">
        <f>IF($C188="Overhead Press",$F188,0)</f>
      </c>
      <c r="T188" s="43">
        <f>IF($C188="Power Clean",$F188,0)</f>
      </c>
    </row>
    <row r="189" spans="1:20" x14ac:dyDescent="0.25">
      <c r="A189" s="28" t="s">
        <v>0</v>
      </c>
      <c r="B189" s="28" t="s">
        <v>0</v>
      </c>
      <c r="C189" s="28" t="s">
        <v>0</v>
      </c>
      <c r="D189" s="43">
        <f>IF(C189="","",IF(OR(C189="Squat",C189="Bench Press",C189="Overhead Press",C189="Light Squat"),"3x5",IF(C189="Deadlift","1x5",IF(C189="Power Clean","5x3","3x10"))))</f>
      </c>
      <c r="E189" s="43">
        <f>IF(C189="","",IF(NOT(OR(C189="Squat",C189="Bench Press",C189="Deadlift",C189="Overhead Press",C189="Power Clean",C189="Light Squat")),"—",IF(C189="Light Squat",IF(COUNTIF(C$10:C188,"Light Squat")=0,ROUND(SUMPRODUCT(MAX((C$10:C188="Squat")*(N$10:N188="OK")*(F$10:F188)))*Settings!$B$37/100/5,0)*5,IF(SUMPRODUCT((C$10:C188="Light Squat")*(N$10:N188="OK")*1)=0,ROUND(SUMPRODUCT(MAX((C$10:C188="Squat")*(N$10:N188="OK")*(F$10:F188)))*Settings!$B$37/100/5,0)*5,SUMPRODUCT(MAX((C$10:C188="Light Squat")*(N$10:N188="OK")*(F$10:F188)))+Settings!$B$38)),IF(SUMPRODUCT((C$10:C188=C189)*(N$10:N188="OK")*1)=0,IF(C189="Squat",Settings!$B$5,IF(C189="Bench Press",Settings!$B$6,IF(C189="Deadlift",Settings!$B$7,IF(C189="Overhead Press",Settings!$B$8,IF(C189="Power Clean",Settings!$B$9,0))))),SUMPRODUCT(MAX((C$10:C188=C189)*(N$10:N188="OK")*(F$10:F188)))+IF(C189="Squat",Settings!$B$12,IF(C189="Bench Press",Settings!$B$13,IF(C189="Deadlift",Settings!$B$14,IF(C189="Overhead Press",Settings!$B$15,IF(C189="Power Clean",Settings!$B$16,0)))))))))</f>
      </c>
      <c r="F189" s="28" t="s">
        <v>0</v>
      </c>
      <c r="G189" s="28" t="s">
        <v>0</v>
      </c>
      <c r="H189" s="28" t="s">
        <v>0</v>
      </c>
      <c r="I189" s="28" t="s">
        <v>0</v>
      </c>
      <c r="J189" s="44" t="s">
        <v>0</v>
      </c>
      <c r="K189" s="44" t="s">
        <v>0</v>
      </c>
      <c r="L189" s="43">
        <f>IF(C189="","",SUM(G189:K189))</f>
      </c>
      <c r="M189" s="43">
        <f>IF(C189="","",IF(NOT(OR(C189="Squat",C189="Bench Press",C189="Deadlift",C189="Overhead Press",C189="Power Clean",C189="Light Squat")),30,IF(OR(C189="Squat",C189="Bench Press",C189="Overhead Press",C189="Light Squat"),15,IF(C189="Deadlift",5,IF(C189="Power Clean",15,0)))))</f>
      </c>
      <c r="N189" s="43">
        <f>IF(C189="","",IF(NOT(OR(C189="Squat",C189="Bench Press",C189="Deadlift",C189="Overhead Press",C189="Power Clean",C189="Light Squat")),"—",IF(L189&gt;=M189,"OK","STALL")))</f>
      </c>
      <c r="O189" s="43" t="s">
        <v>0</v>
      </c>
      <c r="P189" s="43">
        <f>IF($C189="Squat",$F189,0)</f>
      </c>
      <c r="Q189" s="43">
        <f>IF($C189="Bench Press",$F189,0)</f>
      </c>
      <c r="R189" s="43">
        <f>IF($C189="Deadlift",$F189,0)</f>
      </c>
      <c r="S189" s="43">
        <f>IF($C189="Overhead Press",$F189,0)</f>
      </c>
      <c r="T189" s="43">
        <f>IF($C189="Power Clean",$F189,0)</f>
      </c>
    </row>
    <row r="190" spans="1:20" x14ac:dyDescent="0.25">
      <c r="A190" s="28" t="s">
        <v>0</v>
      </c>
      <c r="B190" s="28" t="s">
        <v>0</v>
      </c>
      <c r="C190" s="28" t="s">
        <v>0</v>
      </c>
      <c r="D190" s="43">
        <f>IF(C190="","",IF(OR(C190="Squat",C190="Bench Press",C190="Overhead Press",C190="Light Squat"),"3x5",IF(C190="Deadlift","1x5",IF(C190="Power Clean","5x3","3x10"))))</f>
      </c>
      <c r="E190" s="43">
        <f>IF(C190="","",IF(NOT(OR(C190="Squat",C190="Bench Press",C190="Deadlift",C190="Overhead Press",C190="Power Clean",C190="Light Squat")),"—",IF(C190="Light Squat",IF(COUNTIF(C$10:C189,"Light Squat")=0,ROUND(SUMPRODUCT(MAX((C$10:C189="Squat")*(N$10:N189="OK")*(F$10:F189)))*Settings!$B$37/100/5,0)*5,IF(SUMPRODUCT((C$10:C189="Light Squat")*(N$10:N189="OK")*1)=0,ROUND(SUMPRODUCT(MAX((C$10:C189="Squat")*(N$10:N189="OK")*(F$10:F189)))*Settings!$B$37/100/5,0)*5,SUMPRODUCT(MAX((C$10:C189="Light Squat")*(N$10:N189="OK")*(F$10:F189)))+Settings!$B$38)),IF(SUMPRODUCT((C$10:C189=C190)*(N$10:N189="OK")*1)=0,IF(C190="Squat",Settings!$B$5,IF(C190="Bench Press",Settings!$B$6,IF(C190="Deadlift",Settings!$B$7,IF(C190="Overhead Press",Settings!$B$8,IF(C190="Power Clean",Settings!$B$9,0))))),SUMPRODUCT(MAX((C$10:C189=C190)*(N$10:N189="OK")*(F$10:F189)))+IF(C190="Squat",Settings!$B$12,IF(C190="Bench Press",Settings!$B$13,IF(C190="Deadlift",Settings!$B$14,IF(C190="Overhead Press",Settings!$B$15,IF(C190="Power Clean",Settings!$B$16,0)))))))))</f>
      </c>
      <c r="F190" s="28" t="s">
        <v>0</v>
      </c>
      <c r="G190" s="28" t="s">
        <v>0</v>
      </c>
      <c r="H190" s="28" t="s">
        <v>0</v>
      </c>
      <c r="I190" s="28" t="s">
        <v>0</v>
      </c>
      <c r="J190" s="44" t="s">
        <v>0</v>
      </c>
      <c r="K190" s="44" t="s">
        <v>0</v>
      </c>
      <c r="L190" s="43">
        <f>IF(C190="","",SUM(G190:K190))</f>
      </c>
      <c r="M190" s="43">
        <f>IF(C190="","",IF(NOT(OR(C190="Squat",C190="Bench Press",C190="Deadlift",C190="Overhead Press",C190="Power Clean",C190="Light Squat")),30,IF(OR(C190="Squat",C190="Bench Press",C190="Overhead Press",C190="Light Squat"),15,IF(C190="Deadlift",5,IF(C190="Power Clean",15,0)))))</f>
      </c>
      <c r="N190" s="43">
        <f>IF(C190="","",IF(NOT(OR(C190="Squat",C190="Bench Press",C190="Deadlift",C190="Overhead Press",C190="Power Clean",C190="Light Squat")),"—",IF(L190&gt;=M190,"OK","STALL")))</f>
      </c>
      <c r="O190" s="43" t="s">
        <v>0</v>
      </c>
      <c r="P190" s="43">
        <f>IF($C190="Squat",$F190,0)</f>
      </c>
      <c r="Q190" s="43">
        <f>IF($C190="Bench Press",$F190,0)</f>
      </c>
      <c r="R190" s="43">
        <f>IF($C190="Deadlift",$F190,0)</f>
      </c>
      <c r="S190" s="43">
        <f>IF($C190="Overhead Press",$F190,0)</f>
      </c>
      <c r="T190" s="43">
        <f>IF($C190="Power Clean",$F190,0)</f>
      </c>
    </row>
    <row r="191" spans="1:20" x14ac:dyDescent="0.25">
      <c r="A191" s="28" t="s">
        <v>0</v>
      </c>
      <c r="B191" s="28" t="s">
        <v>0</v>
      </c>
      <c r="C191" s="28" t="s">
        <v>0</v>
      </c>
      <c r="D191" s="43">
        <f>IF(C191="","",IF(OR(C191="Squat",C191="Bench Press",C191="Overhead Press",C191="Light Squat"),"3x5",IF(C191="Deadlift","1x5",IF(C191="Power Clean","5x3","3x10"))))</f>
      </c>
      <c r="E191" s="43">
        <f>IF(C191="","",IF(NOT(OR(C191="Squat",C191="Bench Press",C191="Deadlift",C191="Overhead Press",C191="Power Clean",C191="Light Squat")),"—",IF(C191="Light Squat",IF(COUNTIF(C$10:C190,"Light Squat")=0,ROUND(SUMPRODUCT(MAX((C$10:C190="Squat")*(N$10:N190="OK")*(F$10:F190)))*Settings!$B$37/100/5,0)*5,IF(SUMPRODUCT((C$10:C190="Light Squat")*(N$10:N190="OK")*1)=0,ROUND(SUMPRODUCT(MAX((C$10:C190="Squat")*(N$10:N190="OK")*(F$10:F190)))*Settings!$B$37/100/5,0)*5,SUMPRODUCT(MAX((C$10:C190="Light Squat")*(N$10:N190="OK")*(F$10:F190)))+Settings!$B$38)),IF(SUMPRODUCT((C$10:C190=C191)*(N$10:N190="OK")*1)=0,IF(C191="Squat",Settings!$B$5,IF(C191="Bench Press",Settings!$B$6,IF(C191="Deadlift",Settings!$B$7,IF(C191="Overhead Press",Settings!$B$8,IF(C191="Power Clean",Settings!$B$9,0))))),SUMPRODUCT(MAX((C$10:C190=C191)*(N$10:N190="OK")*(F$10:F190)))+IF(C191="Squat",Settings!$B$12,IF(C191="Bench Press",Settings!$B$13,IF(C191="Deadlift",Settings!$B$14,IF(C191="Overhead Press",Settings!$B$15,IF(C191="Power Clean",Settings!$B$16,0)))))))))</f>
      </c>
      <c r="F191" s="28" t="s">
        <v>0</v>
      </c>
      <c r="G191" s="28" t="s">
        <v>0</v>
      </c>
      <c r="H191" s="28" t="s">
        <v>0</v>
      </c>
      <c r="I191" s="28" t="s">
        <v>0</v>
      </c>
      <c r="J191" s="44" t="s">
        <v>0</v>
      </c>
      <c r="K191" s="44" t="s">
        <v>0</v>
      </c>
      <c r="L191" s="43">
        <f>IF(C191="","",SUM(G191:K191))</f>
      </c>
      <c r="M191" s="43">
        <f>IF(C191="","",IF(NOT(OR(C191="Squat",C191="Bench Press",C191="Deadlift",C191="Overhead Press",C191="Power Clean",C191="Light Squat")),30,IF(OR(C191="Squat",C191="Bench Press",C191="Overhead Press",C191="Light Squat"),15,IF(C191="Deadlift",5,IF(C191="Power Clean",15,0)))))</f>
      </c>
      <c r="N191" s="43">
        <f>IF(C191="","",IF(NOT(OR(C191="Squat",C191="Bench Press",C191="Deadlift",C191="Overhead Press",C191="Power Clean",C191="Light Squat")),"—",IF(L191&gt;=M191,"OK","STALL")))</f>
      </c>
      <c r="O191" s="43" t="s">
        <v>0</v>
      </c>
      <c r="P191" s="43">
        <f>IF($C191="Squat",$F191,0)</f>
      </c>
      <c r="Q191" s="43">
        <f>IF($C191="Bench Press",$F191,0)</f>
      </c>
      <c r="R191" s="43">
        <f>IF($C191="Deadlift",$F191,0)</f>
      </c>
      <c r="S191" s="43">
        <f>IF($C191="Overhead Press",$F191,0)</f>
      </c>
      <c r="T191" s="43">
        <f>IF($C191="Power Clean",$F191,0)</f>
      </c>
    </row>
    <row r="192" spans="1:20" x14ac:dyDescent="0.25">
      <c r="A192" s="28" t="s">
        <v>0</v>
      </c>
      <c r="B192" s="28" t="s">
        <v>0</v>
      </c>
      <c r="C192" s="28" t="s">
        <v>0</v>
      </c>
      <c r="D192" s="43">
        <f>IF(C192="","",IF(OR(C192="Squat",C192="Bench Press",C192="Overhead Press",C192="Light Squat"),"3x5",IF(C192="Deadlift","1x5",IF(C192="Power Clean","5x3","3x10"))))</f>
      </c>
      <c r="E192" s="43">
        <f>IF(C192="","",IF(NOT(OR(C192="Squat",C192="Bench Press",C192="Deadlift",C192="Overhead Press",C192="Power Clean",C192="Light Squat")),"—",IF(C192="Light Squat",IF(COUNTIF(C$10:C191,"Light Squat")=0,ROUND(SUMPRODUCT(MAX((C$10:C191="Squat")*(N$10:N191="OK")*(F$10:F191)))*Settings!$B$37/100/5,0)*5,IF(SUMPRODUCT((C$10:C191="Light Squat")*(N$10:N191="OK")*1)=0,ROUND(SUMPRODUCT(MAX((C$10:C191="Squat")*(N$10:N191="OK")*(F$10:F191)))*Settings!$B$37/100/5,0)*5,SUMPRODUCT(MAX((C$10:C191="Light Squat")*(N$10:N191="OK")*(F$10:F191)))+Settings!$B$38)),IF(SUMPRODUCT((C$10:C191=C192)*(N$10:N191="OK")*1)=0,IF(C192="Squat",Settings!$B$5,IF(C192="Bench Press",Settings!$B$6,IF(C192="Deadlift",Settings!$B$7,IF(C192="Overhead Press",Settings!$B$8,IF(C192="Power Clean",Settings!$B$9,0))))),SUMPRODUCT(MAX((C$10:C191=C192)*(N$10:N191="OK")*(F$10:F191)))+IF(C192="Squat",Settings!$B$12,IF(C192="Bench Press",Settings!$B$13,IF(C192="Deadlift",Settings!$B$14,IF(C192="Overhead Press",Settings!$B$15,IF(C192="Power Clean",Settings!$B$16,0)))))))))</f>
      </c>
      <c r="F192" s="28" t="s">
        <v>0</v>
      </c>
      <c r="G192" s="28" t="s">
        <v>0</v>
      </c>
      <c r="H192" s="28" t="s">
        <v>0</v>
      </c>
      <c r="I192" s="28" t="s">
        <v>0</v>
      </c>
      <c r="J192" s="44" t="s">
        <v>0</v>
      </c>
      <c r="K192" s="44" t="s">
        <v>0</v>
      </c>
      <c r="L192" s="43">
        <f>IF(C192="","",SUM(G192:K192))</f>
      </c>
      <c r="M192" s="43">
        <f>IF(C192="","",IF(NOT(OR(C192="Squat",C192="Bench Press",C192="Deadlift",C192="Overhead Press",C192="Power Clean",C192="Light Squat")),30,IF(OR(C192="Squat",C192="Bench Press",C192="Overhead Press",C192="Light Squat"),15,IF(C192="Deadlift",5,IF(C192="Power Clean",15,0)))))</f>
      </c>
      <c r="N192" s="43">
        <f>IF(C192="","",IF(NOT(OR(C192="Squat",C192="Bench Press",C192="Deadlift",C192="Overhead Press",C192="Power Clean",C192="Light Squat")),"—",IF(L192&gt;=M192,"OK","STALL")))</f>
      </c>
      <c r="O192" s="43" t="s">
        <v>0</v>
      </c>
      <c r="P192" s="43">
        <f>IF($C192="Squat",$F192,0)</f>
      </c>
      <c r="Q192" s="43">
        <f>IF($C192="Bench Press",$F192,0)</f>
      </c>
      <c r="R192" s="43">
        <f>IF($C192="Deadlift",$F192,0)</f>
      </c>
      <c r="S192" s="43">
        <f>IF($C192="Overhead Press",$F192,0)</f>
      </c>
      <c r="T192" s="43">
        <f>IF($C192="Power Clean",$F192,0)</f>
      </c>
    </row>
    <row r="193" spans="1:20" x14ac:dyDescent="0.25">
      <c r="A193" s="28" t="s">
        <v>0</v>
      </c>
      <c r="B193" s="28" t="s">
        <v>0</v>
      </c>
      <c r="C193" s="28" t="s">
        <v>0</v>
      </c>
      <c r="D193" s="43">
        <f>IF(C193="","",IF(OR(C193="Squat",C193="Bench Press",C193="Overhead Press",C193="Light Squat"),"3x5",IF(C193="Deadlift","1x5",IF(C193="Power Clean","5x3","3x10"))))</f>
      </c>
      <c r="E193" s="43">
        <f>IF(C193="","",IF(NOT(OR(C193="Squat",C193="Bench Press",C193="Deadlift",C193="Overhead Press",C193="Power Clean",C193="Light Squat")),"—",IF(C193="Light Squat",IF(COUNTIF(C$10:C192,"Light Squat")=0,ROUND(SUMPRODUCT(MAX((C$10:C192="Squat")*(N$10:N192="OK")*(F$10:F192)))*Settings!$B$37/100/5,0)*5,IF(SUMPRODUCT((C$10:C192="Light Squat")*(N$10:N192="OK")*1)=0,ROUND(SUMPRODUCT(MAX((C$10:C192="Squat")*(N$10:N192="OK")*(F$10:F192)))*Settings!$B$37/100/5,0)*5,SUMPRODUCT(MAX((C$10:C192="Light Squat")*(N$10:N192="OK")*(F$10:F192)))+Settings!$B$38)),IF(SUMPRODUCT((C$10:C192=C193)*(N$10:N192="OK")*1)=0,IF(C193="Squat",Settings!$B$5,IF(C193="Bench Press",Settings!$B$6,IF(C193="Deadlift",Settings!$B$7,IF(C193="Overhead Press",Settings!$B$8,IF(C193="Power Clean",Settings!$B$9,0))))),SUMPRODUCT(MAX((C$10:C192=C193)*(N$10:N192="OK")*(F$10:F192)))+IF(C193="Squat",Settings!$B$12,IF(C193="Bench Press",Settings!$B$13,IF(C193="Deadlift",Settings!$B$14,IF(C193="Overhead Press",Settings!$B$15,IF(C193="Power Clean",Settings!$B$16,0)))))))))</f>
      </c>
      <c r="F193" s="28" t="s">
        <v>0</v>
      </c>
      <c r="G193" s="28" t="s">
        <v>0</v>
      </c>
      <c r="H193" s="28" t="s">
        <v>0</v>
      </c>
      <c r="I193" s="28" t="s">
        <v>0</v>
      </c>
      <c r="J193" s="44" t="s">
        <v>0</v>
      </c>
      <c r="K193" s="44" t="s">
        <v>0</v>
      </c>
      <c r="L193" s="43">
        <f>IF(C193="","",SUM(G193:K193))</f>
      </c>
      <c r="M193" s="43">
        <f>IF(C193="","",IF(NOT(OR(C193="Squat",C193="Bench Press",C193="Deadlift",C193="Overhead Press",C193="Power Clean",C193="Light Squat")),30,IF(OR(C193="Squat",C193="Bench Press",C193="Overhead Press",C193="Light Squat"),15,IF(C193="Deadlift",5,IF(C193="Power Clean",15,0)))))</f>
      </c>
      <c r="N193" s="43">
        <f>IF(C193="","",IF(NOT(OR(C193="Squat",C193="Bench Press",C193="Deadlift",C193="Overhead Press",C193="Power Clean",C193="Light Squat")),"—",IF(L193&gt;=M193,"OK","STALL")))</f>
      </c>
      <c r="O193" s="43" t="s">
        <v>0</v>
      </c>
      <c r="P193" s="43">
        <f>IF($C193="Squat",$F193,0)</f>
      </c>
      <c r="Q193" s="43">
        <f>IF($C193="Bench Press",$F193,0)</f>
      </c>
      <c r="R193" s="43">
        <f>IF($C193="Deadlift",$F193,0)</f>
      </c>
      <c r="S193" s="43">
        <f>IF($C193="Overhead Press",$F193,0)</f>
      </c>
      <c r="T193" s="43">
        <f>IF($C193="Power Clean",$F193,0)</f>
      </c>
    </row>
    <row r="194" spans="1:20" x14ac:dyDescent="0.25">
      <c r="A194" s="28" t="s">
        <v>0</v>
      </c>
      <c r="B194" s="28" t="s">
        <v>0</v>
      </c>
      <c r="C194" s="28" t="s">
        <v>0</v>
      </c>
      <c r="D194" s="43">
        <f>IF(C194="","",IF(OR(C194="Squat",C194="Bench Press",C194="Overhead Press",C194="Light Squat"),"3x5",IF(C194="Deadlift","1x5",IF(C194="Power Clean","5x3","3x10"))))</f>
      </c>
      <c r="E194" s="43">
        <f>IF(C194="","",IF(NOT(OR(C194="Squat",C194="Bench Press",C194="Deadlift",C194="Overhead Press",C194="Power Clean",C194="Light Squat")),"—",IF(C194="Light Squat",IF(COUNTIF(C$10:C193,"Light Squat")=0,ROUND(SUMPRODUCT(MAX((C$10:C193="Squat")*(N$10:N193="OK")*(F$10:F193)))*Settings!$B$37/100/5,0)*5,IF(SUMPRODUCT((C$10:C193="Light Squat")*(N$10:N193="OK")*1)=0,ROUND(SUMPRODUCT(MAX((C$10:C193="Squat")*(N$10:N193="OK")*(F$10:F193)))*Settings!$B$37/100/5,0)*5,SUMPRODUCT(MAX((C$10:C193="Light Squat")*(N$10:N193="OK")*(F$10:F193)))+Settings!$B$38)),IF(SUMPRODUCT((C$10:C193=C194)*(N$10:N193="OK")*1)=0,IF(C194="Squat",Settings!$B$5,IF(C194="Bench Press",Settings!$B$6,IF(C194="Deadlift",Settings!$B$7,IF(C194="Overhead Press",Settings!$B$8,IF(C194="Power Clean",Settings!$B$9,0))))),SUMPRODUCT(MAX((C$10:C193=C194)*(N$10:N193="OK")*(F$10:F193)))+IF(C194="Squat",Settings!$B$12,IF(C194="Bench Press",Settings!$B$13,IF(C194="Deadlift",Settings!$B$14,IF(C194="Overhead Press",Settings!$B$15,IF(C194="Power Clean",Settings!$B$16,0)))))))))</f>
      </c>
      <c r="F194" s="28" t="s">
        <v>0</v>
      </c>
      <c r="G194" s="28" t="s">
        <v>0</v>
      </c>
      <c r="H194" s="28" t="s">
        <v>0</v>
      </c>
      <c r="I194" s="28" t="s">
        <v>0</v>
      </c>
      <c r="J194" s="44" t="s">
        <v>0</v>
      </c>
      <c r="K194" s="44" t="s">
        <v>0</v>
      </c>
      <c r="L194" s="43">
        <f>IF(C194="","",SUM(G194:K194))</f>
      </c>
      <c r="M194" s="43">
        <f>IF(C194="","",IF(NOT(OR(C194="Squat",C194="Bench Press",C194="Deadlift",C194="Overhead Press",C194="Power Clean",C194="Light Squat")),30,IF(OR(C194="Squat",C194="Bench Press",C194="Overhead Press",C194="Light Squat"),15,IF(C194="Deadlift",5,IF(C194="Power Clean",15,0)))))</f>
      </c>
      <c r="N194" s="43">
        <f>IF(C194="","",IF(NOT(OR(C194="Squat",C194="Bench Press",C194="Deadlift",C194="Overhead Press",C194="Power Clean",C194="Light Squat")),"—",IF(L194&gt;=M194,"OK","STALL")))</f>
      </c>
      <c r="O194" s="43" t="s">
        <v>0</v>
      </c>
      <c r="P194" s="43">
        <f>IF($C194="Squat",$F194,0)</f>
      </c>
      <c r="Q194" s="43">
        <f>IF($C194="Bench Press",$F194,0)</f>
      </c>
      <c r="R194" s="43">
        <f>IF($C194="Deadlift",$F194,0)</f>
      </c>
      <c r="S194" s="43">
        <f>IF($C194="Overhead Press",$F194,0)</f>
      </c>
      <c r="T194" s="43">
        <f>IF($C194="Power Clean",$F194,0)</f>
      </c>
    </row>
    <row r="195" spans="1:20" x14ac:dyDescent="0.25">
      <c r="A195" s="28" t="s">
        <v>0</v>
      </c>
      <c r="B195" s="28" t="s">
        <v>0</v>
      </c>
      <c r="C195" s="28" t="s">
        <v>0</v>
      </c>
      <c r="D195" s="43">
        <f>IF(C195="","",IF(OR(C195="Squat",C195="Bench Press",C195="Overhead Press",C195="Light Squat"),"3x5",IF(C195="Deadlift","1x5",IF(C195="Power Clean","5x3","3x10"))))</f>
      </c>
      <c r="E195" s="43">
        <f>IF(C195="","",IF(NOT(OR(C195="Squat",C195="Bench Press",C195="Deadlift",C195="Overhead Press",C195="Power Clean",C195="Light Squat")),"—",IF(C195="Light Squat",IF(COUNTIF(C$10:C194,"Light Squat")=0,ROUND(SUMPRODUCT(MAX((C$10:C194="Squat")*(N$10:N194="OK")*(F$10:F194)))*Settings!$B$37/100/5,0)*5,IF(SUMPRODUCT((C$10:C194="Light Squat")*(N$10:N194="OK")*1)=0,ROUND(SUMPRODUCT(MAX((C$10:C194="Squat")*(N$10:N194="OK")*(F$10:F194)))*Settings!$B$37/100/5,0)*5,SUMPRODUCT(MAX((C$10:C194="Light Squat")*(N$10:N194="OK")*(F$10:F194)))+Settings!$B$38)),IF(SUMPRODUCT((C$10:C194=C195)*(N$10:N194="OK")*1)=0,IF(C195="Squat",Settings!$B$5,IF(C195="Bench Press",Settings!$B$6,IF(C195="Deadlift",Settings!$B$7,IF(C195="Overhead Press",Settings!$B$8,IF(C195="Power Clean",Settings!$B$9,0))))),SUMPRODUCT(MAX((C$10:C194=C195)*(N$10:N194="OK")*(F$10:F194)))+IF(C195="Squat",Settings!$B$12,IF(C195="Bench Press",Settings!$B$13,IF(C195="Deadlift",Settings!$B$14,IF(C195="Overhead Press",Settings!$B$15,IF(C195="Power Clean",Settings!$B$16,0)))))))))</f>
      </c>
      <c r="F195" s="28" t="s">
        <v>0</v>
      </c>
      <c r="G195" s="28" t="s">
        <v>0</v>
      </c>
      <c r="H195" s="28" t="s">
        <v>0</v>
      </c>
      <c r="I195" s="28" t="s">
        <v>0</v>
      </c>
      <c r="J195" s="44" t="s">
        <v>0</v>
      </c>
      <c r="K195" s="44" t="s">
        <v>0</v>
      </c>
      <c r="L195" s="43">
        <f>IF(C195="","",SUM(G195:K195))</f>
      </c>
      <c r="M195" s="43">
        <f>IF(C195="","",IF(NOT(OR(C195="Squat",C195="Bench Press",C195="Deadlift",C195="Overhead Press",C195="Power Clean",C195="Light Squat")),30,IF(OR(C195="Squat",C195="Bench Press",C195="Overhead Press",C195="Light Squat"),15,IF(C195="Deadlift",5,IF(C195="Power Clean",15,0)))))</f>
      </c>
      <c r="N195" s="43">
        <f>IF(C195="","",IF(NOT(OR(C195="Squat",C195="Bench Press",C195="Deadlift",C195="Overhead Press",C195="Power Clean",C195="Light Squat")),"—",IF(L195&gt;=M195,"OK","STALL")))</f>
      </c>
      <c r="O195" s="43" t="s">
        <v>0</v>
      </c>
      <c r="P195" s="43">
        <f>IF($C195="Squat",$F195,0)</f>
      </c>
      <c r="Q195" s="43">
        <f>IF($C195="Bench Press",$F195,0)</f>
      </c>
      <c r="R195" s="43">
        <f>IF($C195="Deadlift",$F195,0)</f>
      </c>
      <c r="S195" s="43">
        <f>IF($C195="Overhead Press",$F195,0)</f>
      </c>
      <c r="T195" s="43">
        <f>IF($C195="Power Clean",$F195,0)</f>
      </c>
    </row>
    <row r="196" spans="1:20" x14ac:dyDescent="0.25">
      <c r="A196" s="28" t="s">
        <v>0</v>
      </c>
      <c r="B196" s="28" t="s">
        <v>0</v>
      </c>
      <c r="C196" s="28" t="s">
        <v>0</v>
      </c>
      <c r="D196" s="43">
        <f>IF(C196="","",IF(OR(C196="Squat",C196="Bench Press",C196="Overhead Press",C196="Light Squat"),"3x5",IF(C196="Deadlift","1x5",IF(C196="Power Clean","5x3","3x10"))))</f>
      </c>
      <c r="E196" s="43">
        <f>IF(C196="","",IF(NOT(OR(C196="Squat",C196="Bench Press",C196="Deadlift",C196="Overhead Press",C196="Power Clean",C196="Light Squat")),"—",IF(C196="Light Squat",IF(COUNTIF(C$10:C195,"Light Squat")=0,ROUND(SUMPRODUCT(MAX((C$10:C195="Squat")*(N$10:N195="OK")*(F$10:F195)))*Settings!$B$37/100/5,0)*5,IF(SUMPRODUCT((C$10:C195="Light Squat")*(N$10:N195="OK")*1)=0,ROUND(SUMPRODUCT(MAX((C$10:C195="Squat")*(N$10:N195="OK")*(F$10:F195)))*Settings!$B$37/100/5,0)*5,SUMPRODUCT(MAX((C$10:C195="Light Squat")*(N$10:N195="OK")*(F$10:F195)))+Settings!$B$38)),IF(SUMPRODUCT((C$10:C195=C196)*(N$10:N195="OK")*1)=0,IF(C196="Squat",Settings!$B$5,IF(C196="Bench Press",Settings!$B$6,IF(C196="Deadlift",Settings!$B$7,IF(C196="Overhead Press",Settings!$B$8,IF(C196="Power Clean",Settings!$B$9,0))))),SUMPRODUCT(MAX((C$10:C195=C196)*(N$10:N195="OK")*(F$10:F195)))+IF(C196="Squat",Settings!$B$12,IF(C196="Bench Press",Settings!$B$13,IF(C196="Deadlift",Settings!$B$14,IF(C196="Overhead Press",Settings!$B$15,IF(C196="Power Clean",Settings!$B$16,0)))))))))</f>
      </c>
      <c r="F196" s="28" t="s">
        <v>0</v>
      </c>
      <c r="G196" s="28" t="s">
        <v>0</v>
      </c>
      <c r="H196" s="28" t="s">
        <v>0</v>
      </c>
      <c r="I196" s="28" t="s">
        <v>0</v>
      </c>
      <c r="J196" s="44" t="s">
        <v>0</v>
      </c>
      <c r="K196" s="44" t="s">
        <v>0</v>
      </c>
      <c r="L196" s="43">
        <f>IF(C196="","",SUM(G196:K196))</f>
      </c>
      <c r="M196" s="43">
        <f>IF(C196="","",IF(NOT(OR(C196="Squat",C196="Bench Press",C196="Deadlift",C196="Overhead Press",C196="Power Clean",C196="Light Squat")),30,IF(OR(C196="Squat",C196="Bench Press",C196="Overhead Press",C196="Light Squat"),15,IF(C196="Deadlift",5,IF(C196="Power Clean",15,0)))))</f>
      </c>
      <c r="N196" s="43">
        <f>IF(C196="","",IF(NOT(OR(C196="Squat",C196="Bench Press",C196="Deadlift",C196="Overhead Press",C196="Power Clean",C196="Light Squat")),"—",IF(L196&gt;=M196,"OK","STALL")))</f>
      </c>
      <c r="O196" s="43" t="s">
        <v>0</v>
      </c>
      <c r="P196" s="43">
        <f>IF($C196="Squat",$F196,0)</f>
      </c>
      <c r="Q196" s="43">
        <f>IF($C196="Bench Press",$F196,0)</f>
      </c>
      <c r="R196" s="43">
        <f>IF($C196="Deadlift",$F196,0)</f>
      </c>
      <c r="S196" s="43">
        <f>IF($C196="Overhead Press",$F196,0)</f>
      </c>
      <c r="T196" s="43">
        <f>IF($C196="Power Clean",$F196,0)</f>
      </c>
    </row>
    <row r="197" spans="1:20" x14ac:dyDescent="0.25">
      <c r="A197" s="28" t="s">
        <v>0</v>
      </c>
      <c r="B197" s="28" t="s">
        <v>0</v>
      </c>
      <c r="C197" s="28" t="s">
        <v>0</v>
      </c>
      <c r="D197" s="43">
        <f>IF(C197="","",IF(OR(C197="Squat",C197="Bench Press",C197="Overhead Press",C197="Light Squat"),"3x5",IF(C197="Deadlift","1x5",IF(C197="Power Clean","5x3","3x10"))))</f>
      </c>
      <c r="E197" s="43">
        <f>IF(C197="","",IF(NOT(OR(C197="Squat",C197="Bench Press",C197="Deadlift",C197="Overhead Press",C197="Power Clean",C197="Light Squat")),"—",IF(C197="Light Squat",IF(COUNTIF(C$10:C196,"Light Squat")=0,ROUND(SUMPRODUCT(MAX((C$10:C196="Squat")*(N$10:N196="OK")*(F$10:F196)))*Settings!$B$37/100/5,0)*5,IF(SUMPRODUCT((C$10:C196="Light Squat")*(N$10:N196="OK")*1)=0,ROUND(SUMPRODUCT(MAX((C$10:C196="Squat")*(N$10:N196="OK")*(F$10:F196)))*Settings!$B$37/100/5,0)*5,SUMPRODUCT(MAX((C$10:C196="Light Squat")*(N$10:N196="OK")*(F$10:F196)))+Settings!$B$38)),IF(SUMPRODUCT((C$10:C196=C197)*(N$10:N196="OK")*1)=0,IF(C197="Squat",Settings!$B$5,IF(C197="Bench Press",Settings!$B$6,IF(C197="Deadlift",Settings!$B$7,IF(C197="Overhead Press",Settings!$B$8,IF(C197="Power Clean",Settings!$B$9,0))))),SUMPRODUCT(MAX((C$10:C196=C197)*(N$10:N196="OK")*(F$10:F196)))+IF(C197="Squat",Settings!$B$12,IF(C197="Bench Press",Settings!$B$13,IF(C197="Deadlift",Settings!$B$14,IF(C197="Overhead Press",Settings!$B$15,IF(C197="Power Clean",Settings!$B$16,0)))))))))</f>
      </c>
      <c r="F197" s="28" t="s">
        <v>0</v>
      </c>
      <c r="G197" s="28" t="s">
        <v>0</v>
      </c>
      <c r="H197" s="28" t="s">
        <v>0</v>
      </c>
      <c r="I197" s="28" t="s">
        <v>0</v>
      </c>
      <c r="J197" s="44" t="s">
        <v>0</v>
      </c>
      <c r="K197" s="44" t="s">
        <v>0</v>
      </c>
      <c r="L197" s="43">
        <f>IF(C197="","",SUM(G197:K197))</f>
      </c>
      <c r="M197" s="43">
        <f>IF(C197="","",IF(NOT(OR(C197="Squat",C197="Bench Press",C197="Deadlift",C197="Overhead Press",C197="Power Clean",C197="Light Squat")),30,IF(OR(C197="Squat",C197="Bench Press",C197="Overhead Press",C197="Light Squat"),15,IF(C197="Deadlift",5,IF(C197="Power Clean",15,0)))))</f>
      </c>
      <c r="N197" s="43">
        <f>IF(C197="","",IF(NOT(OR(C197="Squat",C197="Bench Press",C197="Deadlift",C197="Overhead Press",C197="Power Clean",C197="Light Squat")),"—",IF(L197&gt;=M197,"OK","STALL")))</f>
      </c>
      <c r="O197" s="43" t="s">
        <v>0</v>
      </c>
      <c r="P197" s="43">
        <f>IF($C197="Squat",$F197,0)</f>
      </c>
      <c r="Q197" s="43">
        <f>IF($C197="Bench Press",$F197,0)</f>
      </c>
      <c r="R197" s="43">
        <f>IF($C197="Deadlift",$F197,0)</f>
      </c>
      <c r="S197" s="43">
        <f>IF($C197="Overhead Press",$F197,0)</f>
      </c>
      <c r="T197" s="43">
        <f>IF($C197="Power Clean",$F197,0)</f>
      </c>
    </row>
    <row r="198" spans="1:20" x14ac:dyDescent="0.25">
      <c r="A198" s="28" t="s">
        <v>0</v>
      </c>
      <c r="B198" s="28" t="s">
        <v>0</v>
      </c>
      <c r="C198" s="28" t="s">
        <v>0</v>
      </c>
      <c r="D198" s="43">
        <f>IF(C198="","",IF(OR(C198="Squat",C198="Bench Press",C198="Overhead Press",C198="Light Squat"),"3x5",IF(C198="Deadlift","1x5",IF(C198="Power Clean","5x3","3x10"))))</f>
      </c>
      <c r="E198" s="43">
        <f>IF(C198="","",IF(NOT(OR(C198="Squat",C198="Bench Press",C198="Deadlift",C198="Overhead Press",C198="Power Clean",C198="Light Squat")),"—",IF(C198="Light Squat",IF(COUNTIF(C$10:C197,"Light Squat")=0,ROUND(SUMPRODUCT(MAX((C$10:C197="Squat")*(N$10:N197="OK")*(F$10:F197)))*Settings!$B$37/100/5,0)*5,IF(SUMPRODUCT((C$10:C197="Light Squat")*(N$10:N197="OK")*1)=0,ROUND(SUMPRODUCT(MAX((C$10:C197="Squat")*(N$10:N197="OK")*(F$10:F197)))*Settings!$B$37/100/5,0)*5,SUMPRODUCT(MAX((C$10:C197="Light Squat")*(N$10:N197="OK")*(F$10:F197)))+Settings!$B$38)),IF(SUMPRODUCT((C$10:C197=C198)*(N$10:N197="OK")*1)=0,IF(C198="Squat",Settings!$B$5,IF(C198="Bench Press",Settings!$B$6,IF(C198="Deadlift",Settings!$B$7,IF(C198="Overhead Press",Settings!$B$8,IF(C198="Power Clean",Settings!$B$9,0))))),SUMPRODUCT(MAX((C$10:C197=C198)*(N$10:N197="OK")*(F$10:F197)))+IF(C198="Squat",Settings!$B$12,IF(C198="Bench Press",Settings!$B$13,IF(C198="Deadlift",Settings!$B$14,IF(C198="Overhead Press",Settings!$B$15,IF(C198="Power Clean",Settings!$B$16,0)))))))))</f>
      </c>
      <c r="F198" s="28" t="s">
        <v>0</v>
      </c>
      <c r="G198" s="28" t="s">
        <v>0</v>
      </c>
      <c r="H198" s="28" t="s">
        <v>0</v>
      </c>
      <c r="I198" s="28" t="s">
        <v>0</v>
      </c>
      <c r="J198" s="44" t="s">
        <v>0</v>
      </c>
      <c r="K198" s="44" t="s">
        <v>0</v>
      </c>
      <c r="L198" s="43">
        <f>IF(C198="","",SUM(G198:K198))</f>
      </c>
      <c r="M198" s="43">
        <f>IF(C198="","",IF(NOT(OR(C198="Squat",C198="Bench Press",C198="Deadlift",C198="Overhead Press",C198="Power Clean",C198="Light Squat")),30,IF(OR(C198="Squat",C198="Bench Press",C198="Overhead Press",C198="Light Squat"),15,IF(C198="Deadlift",5,IF(C198="Power Clean",15,0)))))</f>
      </c>
      <c r="N198" s="43">
        <f>IF(C198="","",IF(NOT(OR(C198="Squat",C198="Bench Press",C198="Deadlift",C198="Overhead Press",C198="Power Clean",C198="Light Squat")),"—",IF(L198&gt;=M198,"OK","STALL")))</f>
      </c>
      <c r="O198" s="43" t="s">
        <v>0</v>
      </c>
      <c r="P198" s="43">
        <f>IF($C198="Squat",$F198,0)</f>
      </c>
      <c r="Q198" s="43">
        <f>IF($C198="Bench Press",$F198,0)</f>
      </c>
      <c r="R198" s="43">
        <f>IF($C198="Deadlift",$F198,0)</f>
      </c>
      <c r="S198" s="43">
        <f>IF($C198="Overhead Press",$F198,0)</f>
      </c>
      <c r="T198" s="43">
        <f>IF($C198="Power Clean",$F198,0)</f>
      </c>
    </row>
    <row r="199" spans="1:20" x14ac:dyDescent="0.25">
      <c r="A199" s="28" t="s">
        <v>0</v>
      </c>
      <c r="B199" s="28" t="s">
        <v>0</v>
      </c>
      <c r="C199" s="28" t="s">
        <v>0</v>
      </c>
      <c r="D199" s="43">
        <f>IF(C199="","",IF(OR(C199="Squat",C199="Bench Press",C199="Overhead Press",C199="Light Squat"),"3x5",IF(C199="Deadlift","1x5",IF(C199="Power Clean","5x3","3x10"))))</f>
      </c>
      <c r="E199" s="43">
        <f>IF(C199="","",IF(NOT(OR(C199="Squat",C199="Bench Press",C199="Deadlift",C199="Overhead Press",C199="Power Clean",C199="Light Squat")),"—",IF(C199="Light Squat",IF(COUNTIF(C$10:C198,"Light Squat")=0,ROUND(SUMPRODUCT(MAX((C$10:C198="Squat")*(N$10:N198="OK")*(F$10:F198)))*Settings!$B$37/100/5,0)*5,IF(SUMPRODUCT((C$10:C198="Light Squat")*(N$10:N198="OK")*1)=0,ROUND(SUMPRODUCT(MAX((C$10:C198="Squat")*(N$10:N198="OK")*(F$10:F198)))*Settings!$B$37/100/5,0)*5,SUMPRODUCT(MAX((C$10:C198="Light Squat")*(N$10:N198="OK")*(F$10:F198)))+Settings!$B$38)),IF(SUMPRODUCT((C$10:C198=C199)*(N$10:N198="OK")*1)=0,IF(C199="Squat",Settings!$B$5,IF(C199="Bench Press",Settings!$B$6,IF(C199="Deadlift",Settings!$B$7,IF(C199="Overhead Press",Settings!$B$8,IF(C199="Power Clean",Settings!$B$9,0))))),SUMPRODUCT(MAX((C$10:C198=C199)*(N$10:N198="OK")*(F$10:F198)))+IF(C199="Squat",Settings!$B$12,IF(C199="Bench Press",Settings!$B$13,IF(C199="Deadlift",Settings!$B$14,IF(C199="Overhead Press",Settings!$B$15,IF(C199="Power Clean",Settings!$B$16,0)))))))))</f>
      </c>
      <c r="F199" s="28" t="s">
        <v>0</v>
      </c>
      <c r="G199" s="28" t="s">
        <v>0</v>
      </c>
      <c r="H199" s="28" t="s">
        <v>0</v>
      </c>
      <c r="I199" s="28" t="s">
        <v>0</v>
      </c>
      <c r="J199" s="44" t="s">
        <v>0</v>
      </c>
      <c r="K199" s="44" t="s">
        <v>0</v>
      </c>
      <c r="L199" s="43">
        <f>IF(C199="","",SUM(G199:K199))</f>
      </c>
      <c r="M199" s="43">
        <f>IF(C199="","",IF(NOT(OR(C199="Squat",C199="Bench Press",C199="Deadlift",C199="Overhead Press",C199="Power Clean",C199="Light Squat")),30,IF(OR(C199="Squat",C199="Bench Press",C199="Overhead Press",C199="Light Squat"),15,IF(C199="Deadlift",5,IF(C199="Power Clean",15,0)))))</f>
      </c>
      <c r="N199" s="43">
        <f>IF(C199="","",IF(NOT(OR(C199="Squat",C199="Bench Press",C199="Deadlift",C199="Overhead Press",C199="Power Clean",C199="Light Squat")),"—",IF(L199&gt;=M199,"OK","STALL")))</f>
      </c>
      <c r="O199" s="43" t="s">
        <v>0</v>
      </c>
      <c r="P199" s="43">
        <f>IF($C199="Squat",$F199,0)</f>
      </c>
      <c r="Q199" s="43">
        <f>IF($C199="Bench Press",$F199,0)</f>
      </c>
      <c r="R199" s="43">
        <f>IF($C199="Deadlift",$F199,0)</f>
      </c>
      <c r="S199" s="43">
        <f>IF($C199="Overhead Press",$F199,0)</f>
      </c>
      <c r="T199" s="43">
        <f>IF($C199="Power Clean",$F199,0)</f>
      </c>
    </row>
    <row r="200" spans="1:20" x14ac:dyDescent="0.25">
      <c r="A200" s="28" t="s">
        <v>0</v>
      </c>
      <c r="B200" s="28" t="s">
        <v>0</v>
      </c>
      <c r="C200" s="28" t="s">
        <v>0</v>
      </c>
      <c r="D200" s="43">
        <f>IF(C200="","",IF(OR(C200="Squat",C200="Bench Press",C200="Overhead Press",C200="Light Squat"),"3x5",IF(C200="Deadlift","1x5",IF(C200="Power Clean","5x3","3x10"))))</f>
      </c>
      <c r="E200" s="43">
        <f>IF(C200="","",IF(NOT(OR(C200="Squat",C200="Bench Press",C200="Deadlift",C200="Overhead Press",C200="Power Clean",C200="Light Squat")),"—",IF(C200="Light Squat",IF(COUNTIF(C$10:C199,"Light Squat")=0,ROUND(SUMPRODUCT(MAX((C$10:C199="Squat")*(N$10:N199="OK")*(F$10:F199)))*Settings!$B$37/100/5,0)*5,IF(SUMPRODUCT((C$10:C199="Light Squat")*(N$10:N199="OK")*1)=0,ROUND(SUMPRODUCT(MAX((C$10:C199="Squat")*(N$10:N199="OK")*(F$10:F199)))*Settings!$B$37/100/5,0)*5,SUMPRODUCT(MAX((C$10:C199="Light Squat")*(N$10:N199="OK")*(F$10:F199)))+Settings!$B$38)),IF(SUMPRODUCT((C$10:C199=C200)*(N$10:N199="OK")*1)=0,IF(C200="Squat",Settings!$B$5,IF(C200="Bench Press",Settings!$B$6,IF(C200="Deadlift",Settings!$B$7,IF(C200="Overhead Press",Settings!$B$8,IF(C200="Power Clean",Settings!$B$9,0))))),SUMPRODUCT(MAX((C$10:C199=C200)*(N$10:N199="OK")*(F$10:F199)))+IF(C200="Squat",Settings!$B$12,IF(C200="Bench Press",Settings!$B$13,IF(C200="Deadlift",Settings!$B$14,IF(C200="Overhead Press",Settings!$B$15,IF(C200="Power Clean",Settings!$B$16,0)))))))))</f>
      </c>
      <c r="F200" s="28" t="s">
        <v>0</v>
      </c>
      <c r="G200" s="28" t="s">
        <v>0</v>
      </c>
      <c r="H200" s="28" t="s">
        <v>0</v>
      </c>
      <c r="I200" s="28" t="s">
        <v>0</v>
      </c>
      <c r="J200" s="44" t="s">
        <v>0</v>
      </c>
      <c r="K200" s="44" t="s">
        <v>0</v>
      </c>
      <c r="L200" s="43">
        <f>IF(C200="","",SUM(G200:K200))</f>
      </c>
      <c r="M200" s="43">
        <f>IF(C200="","",IF(NOT(OR(C200="Squat",C200="Bench Press",C200="Deadlift",C200="Overhead Press",C200="Power Clean",C200="Light Squat")),30,IF(OR(C200="Squat",C200="Bench Press",C200="Overhead Press",C200="Light Squat"),15,IF(C200="Deadlift",5,IF(C200="Power Clean",15,0)))))</f>
      </c>
      <c r="N200" s="43">
        <f>IF(C200="","",IF(NOT(OR(C200="Squat",C200="Bench Press",C200="Deadlift",C200="Overhead Press",C200="Power Clean",C200="Light Squat")),"—",IF(L200&gt;=M200,"OK","STALL")))</f>
      </c>
      <c r="O200" s="43" t="s">
        <v>0</v>
      </c>
      <c r="P200" s="43">
        <f>IF($C200="Squat",$F200,0)</f>
      </c>
      <c r="Q200" s="43">
        <f>IF($C200="Bench Press",$F200,0)</f>
      </c>
      <c r="R200" s="43">
        <f>IF($C200="Deadlift",$F200,0)</f>
      </c>
      <c r="S200" s="43">
        <f>IF($C200="Overhead Press",$F200,0)</f>
      </c>
      <c r="T200" s="43">
        <f>IF($C200="Power Clean",$F200,0)</f>
      </c>
    </row>
    <row r="201" spans="1:20" x14ac:dyDescent="0.25">
      <c r="A201" s="28" t="s">
        <v>0</v>
      </c>
      <c r="B201" s="28" t="s">
        <v>0</v>
      </c>
      <c r="C201" s="28" t="s">
        <v>0</v>
      </c>
      <c r="D201" s="43">
        <f>IF(C201="","",IF(OR(C201="Squat",C201="Bench Press",C201="Overhead Press",C201="Light Squat"),"3x5",IF(C201="Deadlift","1x5",IF(C201="Power Clean","5x3","3x10"))))</f>
      </c>
      <c r="E201" s="43">
        <f>IF(C201="","",IF(NOT(OR(C201="Squat",C201="Bench Press",C201="Deadlift",C201="Overhead Press",C201="Power Clean",C201="Light Squat")),"—",IF(C201="Light Squat",IF(COUNTIF(C$10:C200,"Light Squat")=0,ROUND(SUMPRODUCT(MAX((C$10:C200="Squat")*(N$10:N200="OK")*(F$10:F200)))*Settings!$B$37/100/5,0)*5,IF(SUMPRODUCT((C$10:C200="Light Squat")*(N$10:N200="OK")*1)=0,ROUND(SUMPRODUCT(MAX((C$10:C200="Squat")*(N$10:N200="OK")*(F$10:F200)))*Settings!$B$37/100/5,0)*5,SUMPRODUCT(MAX((C$10:C200="Light Squat")*(N$10:N200="OK")*(F$10:F200)))+Settings!$B$38)),IF(SUMPRODUCT((C$10:C200=C201)*(N$10:N200="OK")*1)=0,IF(C201="Squat",Settings!$B$5,IF(C201="Bench Press",Settings!$B$6,IF(C201="Deadlift",Settings!$B$7,IF(C201="Overhead Press",Settings!$B$8,IF(C201="Power Clean",Settings!$B$9,0))))),SUMPRODUCT(MAX((C$10:C200=C201)*(N$10:N200="OK")*(F$10:F200)))+IF(C201="Squat",Settings!$B$12,IF(C201="Bench Press",Settings!$B$13,IF(C201="Deadlift",Settings!$B$14,IF(C201="Overhead Press",Settings!$B$15,IF(C201="Power Clean",Settings!$B$16,0)))))))))</f>
      </c>
      <c r="F201" s="28" t="s">
        <v>0</v>
      </c>
      <c r="G201" s="28" t="s">
        <v>0</v>
      </c>
      <c r="H201" s="28" t="s">
        <v>0</v>
      </c>
      <c r="I201" s="28" t="s">
        <v>0</v>
      </c>
      <c r="J201" s="44" t="s">
        <v>0</v>
      </c>
      <c r="K201" s="44" t="s">
        <v>0</v>
      </c>
      <c r="L201" s="43">
        <f>IF(C201="","",SUM(G201:K201))</f>
      </c>
      <c r="M201" s="43">
        <f>IF(C201="","",IF(NOT(OR(C201="Squat",C201="Bench Press",C201="Deadlift",C201="Overhead Press",C201="Power Clean",C201="Light Squat")),30,IF(OR(C201="Squat",C201="Bench Press",C201="Overhead Press",C201="Light Squat"),15,IF(C201="Deadlift",5,IF(C201="Power Clean",15,0)))))</f>
      </c>
      <c r="N201" s="43">
        <f>IF(C201="","",IF(NOT(OR(C201="Squat",C201="Bench Press",C201="Deadlift",C201="Overhead Press",C201="Power Clean",C201="Light Squat")),"—",IF(L201&gt;=M201,"OK","STALL")))</f>
      </c>
      <c r="O201" s="43" t="s">
        <v>0</v>
      </c>
      <c r="P201" s="43">
        <f>IF($C201="Squat",$F201,0)</f>
      </c>
      <c r="Q201" s="43">
        <f>IF($C201="Bench Press",$F201,0)</f>
      </c>
      <c r="R201" s="43">
        <f>IF($C201="Deadlift",$F201,0)</f>
      </c>
      <c r="S201" s="43">
        <f>IF($C201="Overhead Press",$F201,0)</f>
      </c>
      <c r="T201" s="43">
        <f>IF($C201="Power Clean",$F201,0)</f>
      </c>
    </row>
    <row r="202" spans="1:20" x14ac:dyDescent="0.25">
      <c r="A202" s="28" t="s">
        <v>0</v>
      </c>
      <c r="B202" s="28" t="s">
        <v>0</v>
      </c>
      <c r="C202" s="28" t="s">
        <v>0</v>
      </c>
      <c r="D202" s="43">
        <f>IF(C202="","",IF(OR(C202="Squat",C202="Bench Press",C202="Overhead Press",C202="Light Squat"),"3x5",IF(C202="Deadlift","1x5",IF(C202="Power Clean","5x3","3x10"))))</f>
      </c>
      <c r="E202" s="43">
        <f>IF(C202="","",IF(NOT(OR(C202="Squat",C202="Bench Press",C202="Deadlift",C202="Overhead Press",C202="Power Clean",C202="Light Squat")),"—",IF(C202="Light Squat",IF(COUNTIF(C$10:C201,"Light Squat")=0,ROUND(SUMPRODUCT(MAX((C$10:C201="Squat")*(N$10:N201="OK")*(F$10:F201)))*Settings!$B$37/100/5,0)*5,IF(SUMPRODUCT((C$10:C201="Light Squat")*(N$10:N201="OK")*1)=0,ROUND(SUMPRODUCT(MAX((C$10:C201="Squat")*(N$10:N201="OK")*(F$10:F201)))*Settings!$B$37/100/5,0)*5,SUMPRODUCT(MAX((C$10:C201="Light Squat")*(N$10:N201="OK")*(F$10:F201)))+Settings!$B$38)),IF(SUMPRODUCT((C$10:C201=C202)*(N$10:N201="OK")*1)=0,IF(C202="Squat",Settings!$B$5,IF(C202="Bench Press",Settings!$B$6,IF(C202="Deadlift",Settings!$B$7,IF(C202="Overhead Press",Settings!$B$8,IF(C202="Power Clean",Settings!$B$9,0))))),SUMPRODUCT(MAX((C$10:C201=C202)*(N$10:N201="OK")*(F$10:F201)))+IF(C202="Squat",Settings!$B$12,IF(C202="Bench Press",Settings!$B$13,IF(C202="Deadlift",Settings!$B$14,IF(C202="Overhead Press",Settings!$B$15,IF(C202="Power Clean",Settings!$B$16,0)))))))))</f>
      </c>
      <c r="F202" s="28" t="s">
        <v>0</v>
      </c>
      <c r="G202" s="28" t="s">
        <v>0</v>
      </c>
      <c r="H202" s="28" t="s">
        <v>0</v>
      </c>
      <c r="I202" s="28" t="s">
        <v>0</v>
      </c>
      <c r="J202" s="44" t="s">
        <v>0</v>
      </c>
      <c r="K202" s="44" t="s">
        <v>0</v>
      </c>
      <c r="L202" s="43">
        <f>IF(C202="","",SUM(G202:K202))</f>
      </c>
      <c r="M202" s="43">
        <f>IF(C202="","",IF(NOT(OR(C202="Squat",C202="Bench Press",C202="Deadlift",C202="Overhead Press",C202="Power Clean",C202="Light Squat")),30,IF(OR(C202="Squat",C202="Bench Press",C202="Overhead Press",C202="Light Squat"),15,IF(C202="Deadlift",5,IF(C202="Power Clean",15,0)))))</f>
      </c>
      <c r="N202" s="43">
        <f>IF(C202="","",IF(NOT(OR(C202="Squat",C202="Bench Press",C202="Deadlift",C202="Overhead Press",C202="Power Clean",C202="Light Squat")),"—",IF(L202&gt;=M202,"OK","STALL")))</f>
      </c>
      <c r="O202" s="43" t="s">
        <v>0</v>
      </c>
      <c r="P202" s="43">
        <f>IF($C202="Squat",$F202,0)</f>
      </c>
      <c r="Q202" s="43">
        <f>IF($C202="Bench Press",$F202,0)</f>
      </c>
      <c r="R202" s="43">
        <f>IF($C202="Deadlift",$F202,0)</f>
      </c>
      <c r="S202" s="43">
        <f>IF($C202="Overhead Press",$F202,0)</f>
      </c>
      <c r="T202" s="43">
        <f>IF($C202="Power Clean",$F202,0)</f>
      </c>
    </row>
    <row r="203" spans="1:20" x14ac:dyDescent="0.25">
      <c r="A203" s="28" t="s">
        <v>0</v>
      </c>
      <c r="B203" s="28" t="s">
        <v>0</v>
      </c>
      <c r="C203" s="28" t="s">
        <v>0</v>
      </c>
      <c r="D203" s="43">
        <f>IF(C203="","",IF(OR(C203="Squat",C203="Bench Press",C203="Overhead Press",C203="Light Squat"),"3x5",IF(C203="Deadlift","1x5",IF(C203="Power Clean","5x3","3x10"))))</f>
      </c>
      <c r="E203" s="43">
        <f>IF(C203="","",IF(NOT(OR(C203="Squat",C203="Bench Press",C203="Deadlift",C203="Overhead Press",C203="Power Clean",C203="Light Squat")),"—",IF(C203="Light Squat",IF(COUNTIF(C$10:C202,"Light Squat")=0,ROUND(SUMPRODUCT(MAX((C$10:C202="Squat")*(N$10:N202="OK")*(F$10:F202)))*Settings!$B$37/100/5,0)*5,IF(SUMPRODUCT((C$10:C202="Light Squat")*(N$10:N202="OK")*1)=0,ROUND(SUMPRODUCT(MAX((C$10:C202="Squat")*(N$10:N202="OK")*(F$10:F202)))*Settings!$B$37/100/5,0)*5,SUMPRODUCT(MAX((C$10:C202="Light Squat")*(N$10:N202="OK")*(F$10:F202)))+Settings!$B$38)),IF(SUMPRODUCT((C$10:C202=C203)*(N$10:N202="OK")*1)=0,IF(C203="Squat",Settings!$B$5,IF(C203="Bench Press",Settings!$B$6,IF(C203="Deadlift",Settings!$B$7,IF(C203="Overhead Press",Settings!$B$8,IF(C203="Power Clean",Settings!$B$9,0))))),SUMPRODUCT(MAX((C$10:C202=C203)*(N$10:N202="OK")*(F$10:F202)))+IF(C203="Squat",Settings!$B$12,IF(C203="Bench Press",Settings!$B$13,IF(C203="Deadlift",Settings!$B$14,IF(C203="Overhead Press",Settings!$B$15,IF(C203="Power Clean",Settings!$B$16,0)))))))))</f>
      </c>
      <c r="F203" s="28" t="s">
        <v>0</v>
      </c>
      <c r="G203" s="28" t="s">
        <v>0</v>
      </c>
      <c r="H203" s="28" t="s">
        <v>0</v>
      </c>
      <c r="I203" s="28" t="s">
        <v>0</v>
      </c>
      <c r="J203" s="44" t="s">
        <v>0</v>
      </c>
      <c r="K203" s="44" t="s">
        <v>0</v>
      </c>
      <c r="L203" s="43">
        <f>IF(C203="","",SUM(G203:K203))</f>
      </c>
      <c r="M203" s="43">
        <f>IF(C203="","",IF(NOT(OR(C203="Squat",C203="Bench Press",C203="Deadlift",C203="Overhead Press",C203="Power Clean",C203="Light Squat")),30,IF(OR(C203="Squat",C203="Bench Press",C203="Overhead Press",C203="Light Squat"),15,IF(C203="Deadlift",5,IF(C203="Power Clean",15,0)))))</f>
      </c>
      <c r="N203" s="43">
        <f>IF(C203="","",IF(NOT(OR(C203="Squat",C203="Bench Press",C203="Deadlift",C203="Overhead Press",C203="Power Clean",C203="Light Squat")),"—",IF(L203&gt;=M203,"OK","STALL")))</f>
      </c>
      <c r="O203" s="43" t="s">
        <v>0</v>
      </c>
      <c r="P203" s="43">
        <f>IF($C203="Squat",$F203,0)</f>
      </c>
      <c r="Q203" s="43">
        <f>IF($C203="Bench Press",$F203,0)</f>
      </c>
      <c r="R203" s="43">
        <f>IF($C203="Deadlift",$F203,0)</f>
      </c>
      <c r="S203" s="43">
        <f>IF($C203="Overhead Press",$F203,0)</f>
      </c>
      <c r="T203" s="43">
        <f>IF($C203="Power Clean",$F203,0)</f>
      </c>
    </row>
    <row r="204" spans="1:20" x14ac:dyDescent="0.25">
      <c r="A204" s="28" t="s">
        <v>0</v>
      </c>
      <c r="B204" s="28" t="s">
        <v>0</v>
      </c>
      <c r="C204" s="28" t="s">
        <v>0</v>
      </c>
      <c r="D204" s="43">
        <f>IF(C204="","",IF(OR(C204="Squat",C204="Bench Press",C204="Overhead Press",C204="Light Squat"),"3x5",IF(C204="Deadlift","1x5",IF(C204="Power Clean","5x3","3x10"))))</f>
      </c>
      <c r="E204" s="43">
        <f>IF(C204="","",IF(NOT(OR(C204="Squat",C204="Bench Press",C204="Deadlift",C204="Overhead Press",C204="Power Clean",C204="Light Squat")),"—",IF(C204="Light Squat",IF(COUNTIF(C$10:C203,"Light Squat")=0,ROUND(SUMPRODUCT(MAX((C$10:C203="Squat")*(N$10:N203="OK")*(F$10:F203)))*Settings!$B$37/100/5,0)*5,IF(SUMPRODUCT((C$10:C203="Light Squat")*(N$10:N203="OK")*1)=0,ROUND(SUMPRODUCT(MAX((C$10:C203="Squat")*(N$10:N203="OK")*(F$10:F203)))*Settings!$B$37/100/5,0)*5,SUMPRODUCT(MAX((C$10:C203="Light Squat")*(N$10:N203="OK")*(F$10:F203)))+Settings!$B$38)),IF(SUMPRODUCT((C$10:C203=C204)*(N$10:N203="OK")*1)=0,IF(C204="Squat",Settings!$B$5,IF(C204="Bench Press",Settings!$B$6,IF(C204="Deadlift",Settings!$B$7,IF(C204="Overhead Press",Settings!$B$8,IF(C204="Power Clean",Settings!$B$9,0))))),SUMPRODUCT(MAX((C$10:C203=C204)*(N$10:N203="OK")*(F$10:F203)))+IF(C204="Squat",Settings!$B$12,IF(C204="Bench Press",Settings!$B$13,IF(C204="Deadlift",Settings!$B$14,IF(C204="Overhead Press",Settings!$B$15,IF(C204="Power Clean",Settings!$B$16,0)))))))))</f>
      </c>
      <c r="F204" s="28" t="s">
        <v>0</v>
      </c>
      <c r="G204" s="28" t="s">
        <v>0</v>
      </c>
      <c r="H204" s="28" t="s">
        <v>0</v>
      </c>
      <c r="I204" s="28" t="s">
        <v>0</v>
      </c>
      <c r="J204" s="44" t="s">
        <v>0</v>
      </c>
      <c r="K204" s="44" t="s">
        <v>0</v>
      </c>
      <c r="L204" s="43">
        <f>IF(C204="","",SUM(G204:K204))</f>
      </c>
      <c r="M204" s="43">
        <f>IF(C204="","",IF(NOT(OR(C204="Squat",C204="Bench Press",C204="Deadlift",C204="Overhead Press",C204="Power Clean",C204="Light Squat")),30,IF(OR(C204="Squat",C204="Bench Press",C204="Overhead Press",C204="Light Squat"),15,IF(C204="Deadlift",5,IF(C204="Power Clean",15,0)))))</f>
      </c>
      <c r="N204" s="43">
        <f>IF(C204="","",IF(NOT(OR(C204="Squat",C204="Bench Press",C204="Deadlift",C204="Overhead Press",C204="Power Clean",C204="Light Squat")),"—",IF(L204&gt;=M204,"OK","STALL")))</f>
      </c>
      <c r="O204" s="43" t="s">
        <v>0</v>
      </c>
      <c r="P204" s="43">
        <f>IF($C204="Squat",$F204,0)</f>
      </c>
      <c r="Q204" s="43">
        <f>IF($C204="Bench Press",$F204,0)</f>
      </c>
      <c r="R204" s="43">
        <f>IF($C204="Deadlift",$F204,0)</f>
      </c>
      <c r="S204" s="43">
        <f>IF($C204="Overhead Press",$F204,0)</f>
      </c>
      <c r="T204" s="43">
        <f>IF($C204="Power Clean",$F204,0)</f>
      </c>
    </row>
    <row r="205" spans="1:20" x14ac:dyDescent="0.25">
      <c r="A205" s="28" t="s">
        <v>0</v>
      </c>
      <c r="B205" s="28" t="s">
        <v>0</v>
      </c>
      <c r="C205" s="28" t="s">
        <v>0</v>
      </c>
      <c r="D205" s="43">
        <f>IF(C205="","",IF(OR(C205="Squat",C205="Bench Press",C205="Overhead Press",C205="Light Squat"),"3x5",IF(C205="Deadlift","1x5",IF(C205="Power Clean","5x3","3x10"))))</f>
      </c>
      <c r="E205" s="43">
        <f>IF(C205="","",IF(NOT(OR(C205="Squat",C205="Bench Press",C205="Deadlift",C205="Overhead Press",C205="Power Clean",C205="Light Squat")),"—",IF(C205="Light Squat",IF(COUNTIF(C$10:C204,"Light Squat")=0,ROUND(SUMPRODUCT(MAX((C$10:C204="Squat")*(N$10:N204="OK")*(F$10:F204)))*Settings!$B$37/100/5,0)*5,IF(SUMPRODUCT((C$10:C204="Light Squat")*(N$10:N204="OK")*1)=0,ROUND(SUMPRODUCT(MAX((C$10:C204="Squat")*(N$10:N204="OK")*(F$10:F204)))*Settings!$B$37/100/5,0)*5,SUMPRODUCT(MAX((C$10:C204="Light Squat")*(N$10:N204="OK")*(F$10:F204)))+Settings!$B$38)),IF(SUMPRODUCT((C$10:C204=C205)*(N$10:N204="OK")*1)=0,IF(C205="Squat",Settings!$B$5,IF(C205="Bench Press",Settings!$B$6,IF(C205="Deadlift",Settings!$B$7,IF(C205="Overhead Press",Settings!$B$8,IF(C205="Power Clean",Settings!$B$9,0))))),SUMPRODUCT(MAX((C$10:C204=C205)*(N$10:N204="OK")*(F$10:F204)))+IF(C205="Squat",Settings!$B$12,IF(C205="Bench Press",Settings!$B$13,IF(C205="Deadlift",Settings!$B$14,IF(C205="Overhead Press",Settings!$B$15,IF(C205="Power Clean",Settings!$B$16,0)))))))))</f>
      </c>
      <c r="F205" s="28" t="s">
        <v>0</v>
      </c>
      <c r="G205" s="28" t="s">
        <v>0</v>
      </c>
      <c r="H205" s="28" t="s">
        <v>0</v>
      </c>
      <c r="I205" s="28" t="s">
        <v>0</v>
      </c>
      <c r="J205" s="44" t="s">
        <v>0</v>
      </c>
      <c r="K205" s="44" t="s">
        <v>0</v>
      </c>
      <c r="L205" s="43">
        <f>IF(C205="","",SUM(G205:K205))</f>
      </c>
      <c r="M205" s="43">
        <f>IF(C205="","",IF(NOT(OR(C205="Squat",C205="Bench Press",C205="Deadlift",C205="Overhead Press",C205="Power Clean",C205="Light Squat")),30,IF(OR(C205="Squat",C205="Bench Press",C205="Overhead Press",C205="Light Squat"),15,IF(C205="Deadlift",5,IF(C205="Power Clean",15,0)))))</f>
      </c>
      <c r="N205" s="43">
        <f>IF(C205="","",IF(NOT(OR(C205="Squat",C205="Bench Press",C205="Deadlift",C205="Overhead Press",C205="Power Clean",C205="Light Squat")),"—",IF(L205&gt;=M205,"OK","STALL")))</f>
      </c>
      <c r="O205" s="43" t="s">
        <v>0</v>
      </c>
      <c r="P205" s="43">
        <f>IF($C205="Squat",$F205,0)</f>
      </c>
      <c r="Q205" s="43">
        <f>IF($C205="Bench Press",$F205,0)</f>
      </c>
      <c r="R205" s="43">
        <f>IF($C205="Deadlift",$F205,0)</f>
      </c>
      <c r="S205" s="43">
        <f>IF($C205="Overhead Press",$F205,0)</f>
      </c>
      <c r="T205" s="43">
        <f>IF($C205="Power Clean",$F205,0)</f>
      </c>
    </row>
    <row r="206" spans="1:20" x14ac:dyDescent="0.25">
      <c r="A206" s="28" t="s">
        <v>0</v>
      </c>
      <c r="B206" s="28" t="s">
        <v>0</v>
      </c>
      <c r="C206" s="28" t="s">
        <v>0</v>
      </c>
      <c r="D206" s="43">
        <f>IF(C206="","",IF(OR(C206="Squat",C206="Bench Press",C206="Overhead Press",C206="Light Squat"),"3x5",IF(C206="Deadlift","1x5",IF(C206="Power Clean","5x3","3x10"))))</f>
      </c>
      <c r="E206" s="43">
        <f>IF(C206="","",IF(NOT(OR(C206="Squat",C206="Bench Press",C206="Deadlift",C206="Overhead Press",C206="Power Clean",C206="Light Squat")),"—",IF(C206="Light Squat",IF(COUNTIF(C$10:C205,"Light Squat")=0,ROUND(SUMPRODUCT(MAX((C$10:C205="Squat")*(N$10:N205="OK")*(F$10:F205)))*Settings!$B$37/100/5,0)*5,IF(SUMPRODUCT((C$10:C205="Light Squat")*(N$10:N205="OK")*1)=0,ROUND(SUMPRODUCT(MAX((C$10:C205="Squat")*(N$10:N205="OK")*(F$10:F205)))*Settings!$B$37/100/5,0)*5,SUMPRODUCT(MAX((C$10:C205="Light Squat")*(N$10:N205="OK")*(F$10:F205)))+Settings!$B$38)),IF(SUMPRODUCT((C$10:C205=C206)*(N$10:N205="OK")*1)=0,IF(C206="Squat",Settings!$B$5,IF(C206="Bench Press",Settings!$B$6,IF(C206="Deadlift",Settings!$B$7,IF(C206="Overhead Press",Settings!$B$8,IF(C206="Power Clean",Settings!$B$9,0))))),SUMPRODUCT(MAX((C$10:C205=C206)*(N$10:N205="OK")*(F$10:F205)))+IF(C206="Squat",Settings!$B$12,IF(C206="Bench Press",Settings!$B$13,IF(C206="Deadlift",Settings!$B$14,IF(C206="Overhead Press",Settings!$B$15,IF(C206="Power Clean",Settings!$B$16,0)))))))))</f>
      </c>
      <c r="F206" s="28" t="s">
        <v>0</v>
      </c>
      <c r="G206" s="28" t="s">
        <v>0</v>
      </c>
      <c r="H206" s="28" t="s">
        <v>0</v>
      </c>
      <c r="I206" s="28" t="s">
        <v>0</v>
      </c>
      <c r="J206" s="44" t="s">
        <v>0</v>
      </c>
      <c r="K206" s="44" t="s">
        <v>0</v>
      </c>
      <c r="L206" s="43">
        <f>IF(C206="","",SUM(G206:K206))</f>
      </c>
      <c r="M206" s="43">
        <f>IF(C206="","",IF(NOT(OR(C206="Squat",C206="Bench Press",C206="Deadlift",C206="Overhead Press",C206="Power Clean",C206="Light Squat")),30,IF(OR(C206="Squat",C206="Bench Press",C206="Overhead Press",C206="Light Squat"),15,IF(C206="Deadlift",5,IF(C206="Power Clean",15,0)))))</f>
      </c>
      <c r="N206" s="43">
        <f>IF(C206="","",IF(NOT(OR(C206="Squat",C206="Bench Press",C206="Deadlift",C206="Overhead Press",C206="Power Clean",C206="Light Squat")),"—",IF(L206&gt;=M206,"OK","STALL")))</f>
      </c>
      <c r="O206" s="43" t="s">
        <v>0</v>
      </c>
      <c r="P206" s="43">
        <f>IF($C206="Squat",$F206,0)</f>
      </c>
      <c r="Q206" s="43">
        <f>IF($C206="Bench Press",$F206,0)</f>
      </c>
      <c r="R206" s="43">
        <f>IF($C206="Deadlift",$F206,0)</f>
      </c>
      <c r="S206" s="43">
        <f>IF($C206="Overhead Press",$F206,0)</f>
      </c>
      <c r="T206" s="43">
        <f>IF($C206="Power Clean",$F206,0)</f>
      </c>
    </row>
    <row r="207" spans="1:20" x14ac:dyDescent="0.25">
      <c r="A207" s="28" t="s">
        <v>0</v>
      </c>
      <c r="B207" s="28" t="s">
        <v>0</v>
      </c>
      <c r="C207" s="28" t="s">
        <v>0</v>
      </c>
      <c r="D207" s="43">
        <f>IF(C207="","",IF(OR(C207="Squat",C207="Bench Press",C207="Overhead Press",C207="Light Squat"),"3x5",IF(C207="Deadlift","1x5",IF(C207="Power Clean","5x3","3x10"))))</f>
      </c>
      <c r="E207" s="43">
        <f>IF(C207="","",IF(NOT(OR(C207="Squat",C207="Bench Press",C207="Deadlift",C207="Overhead Press",C207="Power Clean",C207="Light Squat")),"—",IF(C207="Light Squat",IF(COUNTIF(C$10:C206,"Light Squat")=0,ROUND(SUMPRODUCT(MAX((C$10:C206="Squat")*(N$10:N206="OK")*(F$10:F206)))*Settings!$B$37/100/5,0)*5,IF(SUMPRODUCT((C$10:C206="Light Squat")*(N$10:N206="OK")*1)=0,ROUND(SUMPRODUCT(MAX((C$10:C206="Squat")*(N$10:N206="OK")*(F$10:F206)))*Settings!$B$37/100/5,0)*5,SUMPRODUCT(MAX((C$10:C206="Light Squat")*(N$10:N206="OK")*(F$10:F206)))+Settings!$B$38)),IF(SUMPRODUCT((C$10:C206=C207)*(N$10:N206="OK")*1)=0,IF(C207="Squat",Settings!$B$5,IF(C207="Bench Press",Settings!$B$6,IF(C207="Deadlift",Settings!$B$7,IF(C207="Overhead Press",Settings!$B$8,IF(C207="Power Clean",Settings!$B$9,0))))),SUMPRODUCT(MAX((C$10:C206=C207)*(N$10:N206="OK")*(F$10:F206)))+IF(C207="Squat",Settings!$B$12,IF(C207="Bench Press",Settings!$B$13,IF(C207="Deadlift",Settings!$B$14,IF(C207="Overhead Press",Settings!$B$15,IF(C207="Power Clean",Settings!$B$16,0)))))))))</f>
      </c>
      <c r="F207" s="28" t="s">
        <v>0</v>
      </c>
      <c r="G207" s="28" t="s">
        <v>0</v>
      </c>
      <c r="H207" s="28" t="s">
        <v>0</v>
      </c>
      <c r="I207" s="28" t="s">
        <v>0</v>
      </c>
      <c r="J207" s="44" t="s">
        <v>0</v>
      </c>
      <c r="K207" s="44" t="s">
        <v>0</v>
      </c>
      <c r="L207" s="43">
        <f>IF(C207="","",SUM(G207:K207))</f>
      </c>
      <c r="M207" s="43">
        <f>IF(C207="","",IF(NOT(OR(C207="Squat",C207="Bench Press",C207="Deadlift",C207="Overhead Press",C207="Power Clean",C207="Light Squat")),30,IF(OR(C207="Squat",C207="Bench Press",C207="Overhead Press",C207="Light Squat"),15,IF(C207="Deadlift",5,IF(C207="Power Clean",15,0)))))</f>
      </c>
      <c r="N207" s="43">
        <f>IF(C207="","",IF(NOT(OR(C207="Squat",C207="Bench Press",C207="Deadlift",C207="Overhead Press",C207="Power Clean",C207="Light Squat")),"—",IF(L207&gt;=M207,"OK","STALL")))</f>
      </c>
      <c r="O207" s="43" t="s">
        <v>0</v>
      </c>
      <c r="P207" s="43">
        <f>IF($C207="Squat",$F207,0)</f>
      </c>
      <c r="Q207" s="43">
        <f>IF($C207="Bench Press",$F207,0)</f>
      </c>
      <c r="R207" s="43">
        <f>IF($C207="Deadlift",$F207,0)</f>
      </c>
      <c r="S207" s="43">
        <f>IF($C207="Overhead Press",$F207,0)</f>
      </c>
      <c r="T207" s="43">
        <f>IF($C207="Power Clean",$F207,0)</f>
      </c>
    </row>
    <row r="208" spans="1:20" x14ac:dyDescent="0.25">
      <c r="A208" s="28" t="s">
        <v>0</v>
      </c>
      <c r="B208" s="28" t="s">
        <v>0</v>
      </c>
      <c r="C208" s="28" t="s">
        <v>0</v>
      </c>
      <c r="D208" s="43">
        <f>IF(C208="","",IF(OR(C208="Squat",C208="Bench Press",C208="Overhead Press",C208="Light Squat"),"3x5",IF(C208="Deadlift","1x5",IF(C208="Power Clean","5x3","3x10"))))</f>
      </c>
      <c r="E208" s="43">
        <f>IF(C208="","",IF(NOT(OR(C208="Squat",C208="Bench Press",C208="Deadlift",C208="Overhead Press",C208="Power Clean",C208="Light Squat")),"—",IF(C208="Light Squat",IF(COUNTIF(C$10:C207,"Light Squat")=0,ROUND(SUMPRODUCT(MAX((C$10:C207="Squat")*(N$10:N207="OK")*(F$10:F207)))*Settings!$B$37/100/5,0)*5,IF(SUMPRODUCT((C$10:C207="Light Squat")*(N$10:N207="OK")*1)=0,ROUND(SUMPRODUCT(MAX((C$10:C207="Squat")*(N$10:N207="OK")*(F$10:F207)))*Settings!$B$37/100/5,0)*5,SUMPRODUCT(MAX((C$10:C207="Light Squat")*(N$10:N207="OK")*(F$10:F207)))+Settings!$B$38)),IF(SUMPRODUCT((C$10:C207=C208)*(N$10:N207="OK")*1)=0,IF(C208="Squat",Settings!$B$5,IF(C208="Bench Press",Settings!$B$6,IF(C208="Deadlift",Settings!$B$7,IF(C208="Overhead Press",Settings!$B$8,IF(C208="Power Clean",Settings!$B$9,0))))),SUMPRODUCT(MAX((C$10:C207=C208)*(N$10:N207="OK")*(F$10:F207)))+IF(C208="Squat",Settings!$B$12,IF(C208="Bench Press",Settings!$B$13,IF(C208="Deadlift",Settings!$B$14,IF(C208="Overhead Press",Settings!$B$15,IF(C208="Power Clean",Settings!$B$16,0)))))))))</f>
      </c>
      <c r="F208" s="28" t="s">
        <v>0</v>
      </c>
      <c r="G208" s="28" t="s">
        <v>0</v>
      </c>
      <c r="H208" s="28" t="s">
        <v>0</v>
      </c>
      <c r="I208" s="28" t="s">
        <v>0</v>
      </c>
      <c r="J208" s="44" t="s">
        <v>0</v>
      </c>
      <c r="K208" s="44" t="s">
        <v>0</v>
      </c>
      <c r="L208" s="43">
        <f>IF(C208="","",SUM(G208:K208))</f>
      </c>
      <c r="M208" s="43">
        <f>IF(C208="","",IF(NOT(OR(C208="Squat",C208="Bench Press",C208="Deadlift",C208="Overhead Press",C208="Power Clean",C208="Light Squat")),30,IF(OR(C208="Squat",C208="Bench Press",C208="Overhead Press",C208="Light Squat"),15,IF(C208="Deadlift",5,IF(C208="Power Clean",15,0)))))</f>
      </c>
      <c r="N208" s="43">
        <f>IF(C208="","",IF(NOT(OR(C208="Squat",C208="Bench Press",C208="Deadlift",C208="Overhead Press",C208="Power Clean",C208="Light Squat")),"—",IF(L208&gt;=M208,"OK","STALL")))</f>
      </c>
      <c r="O208" s="43" t="s">
        <v>0</v>
      </c>
      <c r="P208" s="43">
        <f>IF($C208="Squat",$F208,0)</f>
      </c>
      <c r="Q208" s="43">
        <f>IF($C208="Bench Press",$F208,0)</f>
      </c>
      <c r="R208" s="43">
        <f>IF($C208="Deadlift",$F208,0)</f>
      </c>
      <c r="S208" s="43">
        <f>IF($C208="Overhead Press",$F208,0)</f>
      </c>
      <c r="T208" s="43">
        <f>IF($C208="Power Clean",$F208,0)</f>
      </c>
    </row>
    <row r="209" spans="1:20" x14ac:dyDescent="0.25">
      <c r="A209" s="28" t="s">
        <v>0</v>
      </c>
      <c r="B209" s="28" t="s">
        <v>0</v>
      </c>
      <c r="C209" s="28" t="s">
        <v>0</v>
      </c>
      <c r="D209" s="43">
        <f>IF(C209="","",IF(OR(C209="Squat",C209="Bench Press",C209="Overhead Press",C209="Light Squat"),"3x5",IF(C209="Deadlift","1x5",IF(C209="Power Clean","5x3","3x10"))))</f>
      </c>
      <c r="E209" s="43">
        <f>IF(C209="","",IF(NOT(OR(C209="Squat",C209="Bench Press",C209="Deadlift",C209="Overhead Press",C209="Power Clean",C209="Light Squat")),"—",IF(C209="Light Squat",IF(COUNTIF(C$10:C208,"Light Squat")=0,ROUND(SUMPRODUCT(MAX((C$10:C208="Squat")*(N$10:N208="OK")*(F$10:F208)))*Settings!$B$37/100/5,0)*5,IF(SUMPRODUCT((C$10:C208="Light Squat")*(N$10:N208="OK")*1)=0,ROUND(SUMPRODUCT(MAX((C$10:C208="Squat")*(N$10:N208="OK")*(F$10:F208)))*Settings!$B$37/100/5,0)*5,SUMPRODUCT(MAX((C$10:C208="Light Squat")*(N$10:N208="OK")*(F$10:F208)))+Settings!$B$38)),IF(SUMPRODUCT((C$10:C208=C209)*(N$10:N208="OK")*1)=0,IF(C209="Squat",Settings!$B$5,IF(C209="Bench Press",Settings!$B$6,IF(C209="Deadlift",Settings!$B$7,IF(C209="Overhead Press",Settings!$B$8,IF(C209="Power Clean",Settings!$B$9,0))))),SUMPRODUCT(MAX((C$10:C208=C209)*(N$10:N208="OK")*(F$10:F208)))+IF(C209="Squat",Settings!$B$12,IF(C209="Bench Press",Settings!$B$13,IF(C209="Deadlift",Settings!$B$14,IF(C209="Overhead Press",Settings!$B$15,IF(C209="Power Clean",Settings!$B$16,0)))))))))</f>
      </c>
      <c r="F209" s="28" t="s">
        <v>0</v>
      </c>
      <c r="G209" s="28" t="s">
        <v>0</v>
      </c>
      <c r="H209" s="28" t="s">
        <v>0</v>
      </c>
      <c r="I209" s="28" t="s">
        <v>0</v>
      </c>
      <c r="J209" s="44" t="s">
        <v>0</v>
      </c>
      <c r="K209" s="44" t="s">
        <v>0</v>
      </c>
      <c r="L209" s="43">
        <f>IF(C209="","",SUM(G209:K209))</f>
      </c>
      <c r="M209" s="43">
        <f>IF(C209="","",IF(NOT(OR(C209="Squat",C209="Bench Press",C209="Deadlift",C209="Overhead Press",C209="Power Clean",C209="Light Squat")),30,IF(OR(C209="Squat",C209="Bench Press",C209="Overhead Press",C209="Light Squat"),15,IF(C209="Deadlift",5,IF(C209="Power Clean",15,0)))))</f>
      </c>
      <c r="N209" s="43">
        <f>IF(C209="","",IF(NOT(OR(C209="Squat",C209="Bench Press",C209="Deadlift",C209="Overhead Press",C209="Power Clean",C209="Light Squat")),"—",IF(L209&gt;=M209,"OK","STALL")))</f>
      </c>
      <c r="O209" s="43" t="s">
        <v>0</v>
      </c>
      <c r="P209" s="43">
        <f>IF($C209="Squat",$F209,0)</f>
      </c>
      <c r="Q209" s="43">
        <f>IF($C209="Bench Press",$F209,0)</f>
      </c>
      <c r="R209" s="43">
        <f>IF($C209="Deadlift",$F209,0)</f>
      </c>
      <c r="S209" s="43">
        <f>IF($C209="Overhead Press",$F209,0)</f>
      </c>
      <c r="T209" s="43">
        <f>IF($C209="Power Clean",$F209,0)</f>
      </c>
    </row>
  </sheetData>
  <mergeCells count="7">
    <mergeCell ref="A1:O1"/>
    <mergeCell ref="A2:O2"/>
    <mergeCell ref="A3:O3"/>
    <mergeCell ref="A4:O4"/>
    <mergeCell ref="A5:O5"/>
    <mergeCell ref="A6:O6"/>
    <mergeCell ref="A7:O7"/>
  </mergeCells>
  <conditionalFormatting sqref="N10:N209">
    <cfRule type="containsText" dxfId="0" priority="1">
      <formula>NOT(ISERROR(SEARCH("STALL",N10)))</formula>
    </cfRule>
    <cfRule type="containsText" dxfId="1" priority="2">
      <formula>NOT(ISERROR(SEARCH("OK",N10)))</formula>
    </cfRule>
  </conditionalFormatting>
  <dataValidations count="2">
    <dataValidation type="list" allowBlank="1" sqref="B10:B209">
      <formula1>"A,B"</formula1>
    </dataValidation>
    <dataValidation type="list" allowBlank="1" sqref="C10:C209">
      <formula1>'Assistance Exercises'!$E$2:$E$18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G23"/>
  <sheetFormatPr defaultRowHeight="15" outlineLevelRow="0" outlineLevelCol="0" x14ac:dyDescent="55"/>
  <cols>
    <col min="1" max="1" width="25" customWidth="1"/>
    <col min="2" max="2" width="15" customWidth="1"/>
    <col min="3" max="3" width="5" customWidth="1"/>
    <col min="4" max="4" width="12" customWidth="1"/>
    <col min="5" max="5" width="15" customWidth="1"/>
    <col min="6" max="6" width="10" customWidth="1"/>
    <col min="7" max="7" width="15" customWidth="1"/>
  </cols>
  <sheetData>
    <row r="1" spans="1:7" s="45" customFormat="1" x14ac:dyDescent="0.25">
      <c r="A1" s="45" t="s">
        <v>174</v>
      </c>
      <c r="B1" s="45"/>
      <c r="C1" s="45"/>
      <c r="D1" s="45"/>
      <c r="E1" s="45"/>
      <c r="F1" s="45"/>
      <c r="G1" s="45"/>
    </row>
    <row r="2" spans="1:1" x14ac:dyDescent="0.25">
      <c r="A2" t="s">
        <v>0</v>
      </c>
    </row>
    <row r="3" spans="1:7" s="33" customFormat="1" x14ac:dyDescent="0.25">
      <c r="A3" s="33" t="s">
        <v>175</v>
      </c>
      <c r="B3" s="33" t="s">
        <v>0</v>
      </c>
      <c r="C3" s="33" t="s">
        <v>0</v>
      </c>
      <c r="D3" s="33" t="s">
        <v>0</v>
      </c>
      <c r="E3" s="33" t="s">
        <v>0</v>
      </c>
      <c r="F3" s="33" t="s">
        <v>0</v>
      </c>
      <c r="G3" s="33" t="s">
        <v>0</v>
      </c>
    </row>
    <row r="4" spans="1:7" x14ac:dyDescent="0.25">
      <c r="A4" t="s">
        <v>176</v>
      </c>
      <c r="B4" s="46">
        <v>225</v>
      </c>
      <c r="C4" t="s">
        <v>0</v>
      </c>
      <c r="D4" t="s">
        <v>0</v>
      </c>
      <c r="E4" t="s">
        <v>0</v>
      </c>
      <c r="F4" t="s">
        <v>0</v>
      </c>
      <c r="G4" t="s">
        <v>0</v>
      </c>
    </row>
    <row r="5" spans="1:7" x14ac:dyDescent="0.25">
      <c r="A5" t="s">
        <v>177</v>
      </c>
      <c r="B5">
        <f>Settings!B2</f>
      </c>
      <c r="C5" t="s">
        <v>0</v>
      </c>
      <c r="D5" t="s">
        <v>0</v>
      </c>
      <c r="E5" t="s">
        <v>0</v>
      </c>
      <c r="F5" t="s">
        <v>0</v>
      </c>
      <c r="G5" t="s">
        <v>0</v>
      </c>
    </row>
    <row r="6" spans="1:1" x14ac:dyDescent="0.25">
      <c r="A6" t="s">
        <v>0</v>
      </c>
    </row>
    <row r="7" spans="1:7" s="47" customFormat="1" x14ac:dyDescent="0.25">
      <c r="A7" s="47" t="s">
        <v>0</v>
      </c>
      <c r="B7" s="47" t="s">
        <v>0</v>
      </c>
      <c r="C7" s="47" t="s">
        <v>0</v>
      </c>
      <c r="D7" s="27" t="s">
        <v>178</v>
      </c>
      <c r="E7" s="27" t="s">
        <v>179</v>
      </c>
      <c r="F7" s="27" t="s">
        <v>171</v>
      </c>
      <c r="G7" s="27" t="s">
        <v>180</v>
      </c>
    </row>
    <row r="8" spans="1:7" s="48" customFormat="1" x14ac:dyDescent="0.25">
      <c r="A8" s="48" t="s">
        <v>0</v>
      </c>
      <c r="B8" s="48" t="s">
        <v>0</v>
      </c>
      <c r="C8" s="48" t="s">
        <v>0</v>
      </c>
      <c r="D8" s="48" t="s">
        <v>181</v>
      </c>
      <c r="E8" s="48">
        <f>Settings!B2</f>
      </c>
      <c r="F8" s="48">
        <v>5</v>
      </c>
      <c r="G8" s="48" t="s">
        <v>182</v>
      </c>
    </row>
    <row r="9" spans="1:7" s="48" customFormat="1" x14ac:dyDescent="0.25">
      <c r="A9" s="48" t="s">
        <v>0</v>
      </c>
      <c r="B9" s="48" t="s">
        <v>0</v>
      </c>
      <c r="C9" s="48" t="s">
        <v>0</v>
      </c>
      <c r="D9" s="48" t="s">
        <v>183</v>
      </c>
      <c r="E9" s="48">
        <f>Settings!B2</f>
      </c>
      <c r="F9" s="48">
        <v>5</v>
      </c>
      <c r="G9" s="48" t="s">
        <v>182</v>
      </c>
    </row>
    <row r="10" spans="1:7" s="48" customFormat="1" x14ac:dyDescent="0.25">
      <c r="A10" s="48" t="s">
        <v>0</v>
      </c>
      <c r="B10" s="48" t="s">
        <v>0</v>
      </c>
      <c r="C10" s="48" t="s">
        <v>0</v>
      </c>
      <c r="D10" s="48" t="s">
        <v>184</v>
      </c>
      <c r="E10" s="48">
        <f>ROUND(B4*0.4/5,0)*5</f>
      </c>
      <c r="F10" s="48">
        <v>5</v>
      </c>
      <c r="G10" s="48" t="s">
        <v>185</v>
      </c>
    </row>
    <row r="11" spans="1:7" s="48" customFormat="1" x14ac:dyDescent="0.25">
      <c r="A11" s="48" t="s">
        <v>0</v>
      </c>
      <c r="B11" s="48" t="s">
        <v>0</v>
      </c>
      <c r="C11" s="48" t="s">
        <v>0</v>
      </c>
      <c r="D11" s="48" t="s">
        <v>186</v>
      </c>
      <c r="E11" s="48">
        <f>ROUND(B4*0.6/5,0)*5</f>
      </c>
      <c r="F11" s="48">
        <v>3</v>
      </c>
      <c r="G11" s="48" t="s">
        <v>185</v>
      </c>
    </row>
    <row r="12" spans="1:7" s="48" customFormat="1" x14ac:dyDescent="0.25">
      <c r="A12" s="48" t="s">
        <v>0</v>
      </c>
      <c r="B12" s="48" t="s">
        <v>0</v>
      </c>
      <c r="C12" s="48" t="s">
        <v>0</v>
      </c>
      <c r="D12" s="48" t="s">
        <v>187</v>
      </c>
      <c r="E12" s="48">
        <f>ROUND(B4*0.8/5,0)*5</f>
      </c>
      <c r="F12" s="48">
        <v>2</v>
      </c>
      <c r="G12" s="48" t="s">
        <v>188</v>
      </c>
    </row>
    <row r="13" spans="1:7" s="33" customFormat="1" x14ac:dyDescent="0.25">
      <c r="A13" s="33" t="s">
        <v>0</v>
      </c>
      <c r="B13" s="33" t="s">
        <v>0</v>
      </c>
      <c r="C13" s="33" t="s">
        <v>0</v>
      </c>
      <c r="D13" s="49" t="s">
        <v>189</v>
      </c>
      <c r="E13" s="49">
        <f>B4</f>
      </c>
      <c r="F13" s="49" t="s">
        <v>190</v>
      </c>
      <c r="G13" s="49" t="s">
        <v>191</v>
      </c>
    </row>
    <row r="14" spans="1:1" x14ac:dyDescent="0.25">
      <c r="A14" t="s">
        <v>0</v>
      </c>
    </row>
    <row r="15" spans="1:1" x14ac:dyDescent="0.25">
      <c r="A15" t="s">
        <v>0</v>
      </c>
    </row>
    <row r="16" spans="1:1" s="33" customFormat="1" x14ac:dyDescent="0.25">
      <c r="A16" s="33" t="s">
        <v>192</v>
      </c>
    </row>
    <row r="17" spans="1:1" x14ac:dyDescent="0.25">
      <c r="A17" t="s">
        <v>193</v>
      </c>
    </row>
    <row r="18" spans="1:1" x14ac:dyDescent="0.25">
      <c r="A18" t="s">
        <v>194</v>
      </c>
    </row>
    <row r="19" spans="1:1" x14ac:dyDescent="0.25">
      <c r="A19" t="s">
        <v>195</v>
      </c>
    </row>
    <row r="20" spans="1:1" x14ac:dyDescent="0.25">
      <c r="A20" t="s">
        <v>196</v>
      </c>
    </row>
    <row r="21" spans="1:1" x14ac:dyDescent="0.25">
      <c r="A21" t="s">
        <v>197</v>
      </c>
    </row>
    <row r="22" spans="1:1" x14ac:dyDescent="0.25">
      <c r="A22" t="s">
        <v>0</v>
      </c>
    </row>
    <row r="23" spans="1:1" x14ac:dyDescent="0.25">
      <c r="A23" t="s">
        <v>198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F10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5" customWidth="1"/>
    <col min="3" max="3" width="40" customWidth="1"/>
    <col min="4" max="4" width="5" customWidth="1"/>
    <col min="5" max="5" width="20" customWidth="1"/>
    <col min="6" max="6" width="15" customWidth="1"/>
  </cols>
  <sheetData>
    <row r="1" spans="1:6" s="47" customFormat="1" x14ac:dyDescent="0.25">
      <c r="A1" s="27" t="s">
        <v>148</v>
      </c>
      <c r="B1" s="27" t="s">
        <v>179</v>
      </c>
      <c r="C1" s="27" t="s">
        <v>58</v>
      </c>
      <c r="D1" s="47" t="s">
        <v>0</v>
      </c>
      <c r="E1" s="27" t="s">
        <v>199</v>
      </c>
      <c r="F1" s="27" t="s">
        <v>0</v>
      </c>
    </row>
    <row r="2" spans="1:6" x14ac:dyDescent="0.25">
      <c r="A2" t="s">
        <v>0</v>
      </c>
      <c r="B2" t="s">
        <v>0</v>
      </c>
      <c r="C2" t="s">
        <v>0</v>
      </c>
      <c r="D2" t="s">
        <v>0</v>
      </c>
      <c r="E2" s="33" t="s">
        <v>200</v>
      </c>
      <c r="F2">
        <f>IF(COUNTA(B2:B200)&gt;0,INDEX(B:B,MATCH(TRUE,B2:B200&lt;&gt;"",0)+1),"N/A")</f>
      </c>
    </row>
    <row r="3" spans="1:6" x14ac:dyDescent="0.25">
      <c r="A3" t="s">
        <v>0</v>
      </c>
      <c r="B3" t="s">
        <v>0</v>
      </c>
      <c r="C3" t="s">
        <v>0</v>
      </c>
      <c r="D3" t="s">
        <v>0</v>
      </c>
      <c r="E3" s="33" t="s">
        <v>201</v>
      </c>
      <c r="F3">
        <f>IF(COUNTA(B2:B200)&gt;0,LOOKUP(2,1/(B2:B200&lt;&gt;""),B2:B200),"N/A")</f>
      </c>
    </row>
    <row r="4" spans="1:6" x14ac:dyDescent="0.25">
      <c r="A4" t="s">
        <v>0</v>
      </c>
      <c r="B4" t="s">
        <v>0</v>
      </c>
      <c r="C4" t="s">
        <v>0</v>
      </c>
      <c r="D4" t="s">
        <v>0</v>
      </c>
      <c r="E4" s="33" t="s">
        <v>202</v>
      </c>
      <c r="F4">
        <f>IF(AND(F2&lt;&gt;"N/A",F3&lt;&gt;"N/A"),F3-F2,"N/A")</f>
      </c>
    </row>
    <row r="5" spans="1:6" x14ac:dyDescent="0.25">
      <c r="A5" t="s">
        <v>0</v>
      </c>
      <c r="B5" t="s">
        <v>0</v>
      </c>
      <c r="C5" t="s">
        <v>0</v>
      </c>
      <c r="D5" t="s">
        <v>0</v>
      </c>
      <c r="E5" s="33" t="s">
        <v>203</v>
      </c>
      <c r="F5">
        <f>IF(COUNTA(B2:B200)&gt;0,ROUND(AVERAGE(B2:B200),1),"N/A")</f>
      </c>
    </row>
    <row r="6" spans="1:6" x14ac:dyDescent="0.25">
      <c r="A6" t="s">
        <v>0</v>
      </c>
      <c r="B6" t="s">
        <v>0</v>
      </c>
      <c r="C6" t="s">
        <v>0</v>
      </c>
      <c r="D6" t="s">
        <v>0</v>
      </c>
      <c r="E6" s="33" t="s">
        <v>204</v>
      </c>
      <c r="F6">
        <f>COUNTA(B2:B200)</f>
      </c>
    </row>
    <row r="7" spans="1:6" x14ac:dyDescent="0.25">
      <c r="A7" s="28" t="s">
        <v>0</v>
      </c>
      <c r="B7" s="28" t="s">
        <v>0</v>
      </c>
      <c r="C7" s="28" t="s">
        <v>0</v>
      </c>
      <c r="D7" t="s">
        <v>0</v>
      </c>
      <c r="E7" t="s">
        <v>0</v>
      </c>
      <c r="F7" t="s">
        <v>0</v>
      </c>
    </row>
    <row r="8" spans="1:6" x14ac:dyDescent="0.25">
      <c r="A8" s="28" t="s">
        <v>0</v>
      </c>
      <c r="B8" s="28" t="s">
        <v>0</v>
      </c>
      <c r="C8" s="28" t="s">
        <v>0</v>
      </c>
      <c r="D8" t="s">
        <v>0</v>
      </c>
      <c r="E8" t="s">
        <v>0</v>
      </c>
      <c r="F8" t="s">
        <v>0</v>
      </c>
    </row>
    <row r="9" spans="1:6" x14ac:dyDescent="0.25">
      <c r="A9" s="28" t="s">
        <v>0</v>
      </c>
      <c r="B9" s="28" t="s">
        <v>0</v>
      </c>
      <c r="C9" s="28" t="s">
        <v>0</v>
      </c>
      <c r="D9" t="s">
        <v>0</v>
      </c>
      <c r="E9" t="s">
        <v>0</v>
      </c>
      <c r="F9" t="s">
        <v>0</v>
      </c>
    </row>
    <row r="10" spans="1:6" x14ac:dyDescent="0.25">
      <c r="A10" s="28" t="s">
        <v>0</v>
      </c>
      <c r="B10" s="28" t="s">
        <v>0</v>
      </c>
      <c r="C10" s="28" t="s">
        <v>0</v>
      </c>
      <c r="D10" t="s">
        <v>0</v>
      </c>
      <c r="E10" t="s">
        <v>0</v>
      </c>
      <c r="F10" t="s">
        <v>0</v>
      </c>
    </row>
    <row r="11" spans="1:6" x14ac:dyDescent="0.25">
      <c r="A11" s="28" t="s">
        <v>0</v>
      </c>
      <c r="B11" s="28" t="s">
        <v>0</v>
      </c>
      <c r="C11" s="28" t="s">
        <v>0</v>
      </c>
      <c r="D11" t="s">
        <v>0</v>
      </c>
      <c r="E11" t="s">
        <v>0</v>
      </c>
      <c r="F11" t="s">
        <v>0</v>
      </c>
    </row>
    <row r="12" spans="1:6" x14ac:dyDescent="0.25">
      <c r="A12" s="28" t="s">
        <v>0</v>
      </c>
      <c r="B12" s="28" t="s">
        <v>0</v>
      </c>
      <c r="C12" s="28" t="s">
        <v>0</v>
      </c>
      <c r="D12" t="s">
        <v>0</v>
      </c>
      <c r="E12" t="s">
        <v>0</v>
      </c>
      <c r="F12" t="s">
        <v>0</v>
      </c>
    </row>
    <row r="13" spans="1:6" x14ac:dyDescent="0.25">
      <c r="A13" s="28" t="s">
        <v>0</v>
      </c>
      <c r="B13" s="28" t="s">
        <v>0</v>
      </c>
      <c r="C13" s="28" t="s">
        <v>0</v>
      </c>
      <c r="D13" t="s">
        <v>0</v>
      </c>
      <c r="E13" t="s">
        <v>0</v>
      </c>
      <c r="F13" t="s">
        <v>0</v>
      </c>
    </row>
    <row r="14" spans="1:6" x14ac:dyDescent="0.25">
      <c r="A14" s="28" t="s">
        <v>0</v>
      </c>
      <c r="B14" s="28" t="s">
        <v>0</v>
      </c>
      <c r="C14" s="28" t="s">
        <v>0</v>
      </c>
      <c r="D14" t="s">
        <v>0</v>
      </c>
      <c r="E14" t="s">
        <v>0</v>
      </c>
      <c r="F14" t="s">
        <v>0</v>
      </c>
    </row>
    <row r="15" spans="1:6" x14ac:dyDescent="0.25">
      <c r="A15" s="28" t="s">
        <v>0</v>
      </c>
      <c r="B15" s="28" t="s">
        <v>0</v>
      </c>
      <c r="C15" s="28" t="s">
        <v>0</v>
      </c>
      <c r="D15" t="s">
        <v>0</v>
      </c>
      <c r="E15" t="s">
        <v>0</v>
      </c>
      <c r="F15" t="s">
        <v>0</v>
      </c>
    </row>
    <row r="16" spans="1:6" x14ac:dyDescent="0.25">
      <c r="A16" s="28" t="s">
        <v>0</v>
      </c>
      <c r="B16" s="28" t="s">
        <v>0</v>
      </c>
      <c r="C16" s="28" t="s">
        <v>0</v>
      </c>
      <c r="D16" t="s">
        <v>0</v>
      </c>
      <c r="E16" t="s">
        <v>0</v>
      </c>
      <c r="F16" t="s">
        <v>0</v>
      </c>
    </row>
    <row r="17" spans="1:6" x14ac:dyDescent="0.25">
      <c r="A17" s="28" t="s">
        <v>0</v>
      </c>
      <c r="B17" s="28" t="s">
        <v>0</v>
      </c>
      <c r="C17" s="28" t="s">
        <v>0</v>
      </c>
      <c r="D17" t="s">
        <v>0</v>
      </c>
      <c r="E17" t="s">
        <v>0</v>
      </c>
      <c r="F17" t="s">
        <v>0</v>
      </c>
    </row>
    <row r="18" spans="1:6" x14ac:dyDescent="0.25">
      <c r="A18" s="28" t="s">
        <v>0</v>
      </c>
      <c r="B18" s="28" t="s">
        <v>0</v>
      </c>
      <c r="C18" s="28" t="s">
        <v>0</v>
      </c>
      <c r="D18" t="s">
        <v>0</v>
      </c>
      <c r="E18" t="s">
        <v>0</v>
      </c>
      <c r="F18" t="s">
        <v>0</v>
      </c>
    </row>
    <row r="19" spans="1:6" x14ac:dyDescent="0.25">
      <c r="A19" s="28" t="s">
        <v>0</v>
      </c>
      <c r="B19" s="28" t="s">
        <v>0</v>
      </c>
      <c r="C19" s="28" t="s">
        <v>0</v>
      </c>
      <c r="D19" t="s">
        <v>0</v>
      </c>
      <c r="E19" t="s">
        <v>0</v>
      </c>
      <c r="F19" t="s">
        <v>0</v>
      </c>
    </row>
    <row r="20" spans="1:6" x14ac:dyDescent="0.25">
      <c r="A20" s="28" t="s">
        <v>0</v>
      </c>
      <c r="B20" s="28" t="s">
        <v>0</v>
      </c>
      <c r="C20" s="28" t="s">
        <v>0</v>
      </c>
      <c r="D20" t="s">
        <v>0</v>
      </c>
      <c r="E20" t="s">
        <v>0</v>
      </c>
      <c r="F20" t="s">
        <v>0</v>
      </c>
    </row>
    <row r="21" spans="1:6" x14ac:dyDescent="0.25">
      <c r="A21" s="28" t="s">
        <v>0</v>
      </c>
      <c r="B21" s="28" t="s">
        <v>0</v>
      </c>
      <c r="C21" s="28" t="s">
        <v>0</v>
      </c>
      <c r="D21" t="s">
        <v>0</v>
      </c>
      <c r="E21" t="s">
        <v>0</v>
      </c>
      <c r="F21" t="s">
        <v>0</v>
      </c>
    </row>
    <row r="22" spans="1:6" x14ac:dyDescent="0.25">
      <c r="A22" s="28" t="s">
        <v>0</v>
      </c>
      <c r="B22" s="28" t="s">
        <v>0</v>
      </c>
      <c r="C22" s="28" t="s">
        <v>0</v>
      </c>
      <c r="D22" t="s">
        <v>0</v>
      </c>
      <c r="E22" t="s">
        <v>0</v>
      </c>
      <c r="F22" t="s">
        <v>0</v>
      </c>
    </row>
    <row r="23" spans="1:6" x14ac:dyDescent="0.25">
      <c r="A23" s="28" t="s">
        <v>0</v>
      </c>
      <c r="B23" s="28" t="s">
        <v>0</v>
      </c>
      <c r="C23" s="28" t="s">
        <v>0</v>
      </c>
      <c r="D23" t="s">
        <v>0</v>
      </c>
      <c r="E23" t="s">
        <v>0</v>
      </c>
      <c r="F23" t="s">
        <v>0</v>
      </c>
    </row>
    <row r="24" spans="1:6" x14ac:dyDescent="0.25">
      <c r="A24" s="28" t="s">
        <v>0</v>
      </c>
      <c r="B24" s="28" t="s">
        <v>0</v>
      </c>
      <c r="C24" s="28" t="s">
        <v>0</v>
      </c>
      <c r="D24" t="s">
        <v>0</v>
      </c>
      <c r="E24" t="s">
        <v>0</v>
      </c>
      <c r="F24" t="s">
        <v>0</v>
      </c>
    </row>
    <row r="25" spans="1:6" x14ac:dyDescent="0.25">
      <c r="A25" s="28" t="s">
        <v>0</v>
      </c>
      <c r="B25" s="28" t="s">
        <v>0</v>
      </c>
      <c r="C25" s="28" t="s">
        <v>0</v>
      </c>
      <c r="D25" t="s">
        <v>0</v>
      </c>
      <c r="E25" t="s">
        <v>0</v>
      </c>
      <c r="F25" t="s">
        <v>0</v>
      </c>
    </row>
    <row r="26" spans="1:6" x14ac:dyDescent="0.25">
      <c r="A26" s="28" t="s">
        <v>0</v>
      </c>
      <c r="B26" s="28" t="s">
        <v>0</v>
      </c>
      <c r="C26" s="28" t="s">
        <v>0</v>
      </c>
      <c r="D26" t="s">
        <v>0</v>
      </c>
      <c r="E26" t="s">
        <v>0</v>
      </c>
      <c r="F26" t="s">
        <v>0</v>
      </c>
    </row>
    <row r="27" spans="1:6" x14ac:dyDescent="0.25">
      <c r="A27" s="28" t="s">
        <v>0</v>
      </c>
      <c r="B27" s="28" t="s">
        <v>0</v>
      </c>
      <c r="C27" s="28" t="s">
        <v>0</v>
      </c>
      <c r="D27" t="s">
        <v>0</v>
      </c>
      <c r="E27" t="s">
        <v>0</v>
      </c>
      <c r="F27" t="s">
        <v>0</v>
      </c>
    </row>
    <row r="28" spans="1:6" x14ac:dyDescent="0.25">
      <c r="A28" s="28" t="s">
        <v>0</v>
      </c>
      <c r="B28" s="28" t="s">
        <v>0</v>
      </c>
      <c r="C28" s="28" t="s">
        <v>0</v>
      </c>
      <c r="D28" t="s">
        <v>0</v>
      </c>
      <c r="E28" t="s">
        <v>0</v>
      </c>
      <c r="F28" t="s">
        <v>0</v>
      </c>
    </row>
    <row r="29" spans="1:6" x14ac:dyDescent="0.25">
      <c r="A29" s="28" t="s">
        <v>0</v>
      </c>
      <c r="B29" s="28" t="s">
        <v>0</v>
      </c>
      <c r="C29" s="28" t="s">
        <v>0</v>
      </c>
      <c r="D29" t="s">
        <v>0</v>
      </c>
      <c r="E29" t="s">
        <v>0</v>
      </c>
      <c r="F29" t="s">
        <v>0</v>
      </c>
    </row>
    <row r="30" spans="1:6" x14ac:dyDescent="0.25">
      <c r="A30" s="28" t="s">
        <v>0</v>
      </c>
      <c r="B30" s="28" t="s">
        <v>0</v>
      </c>
      <c r="C30" s="28" t="s">
        <v>0</v>
      </c>
      <c r="D30" t="s">
        <v>0</v>
      </c>
      <c r="E30" t="s">
        <v>0</v>
      </c>
      <c r="F30" t="s">
        <v>0</v>
      </c>
    </row>
    <row r="31" spans="1:6" x14ac:dyDescent="0.25">
      <c r="A31" s="28" t="s">
        <v>0</v>
      </c>
      <c r="B31" s="28" t="s">
        <v>0</v>
      </c>
      <c r="C31" s="28" t="s">
        <v>0</v>
      </c>
      <c r="D31" t="s">
        <v>0</v>
      </c>
      <c r="E31" t="s">
        <v>0</v>
      </c>
      <c r="F31" t="s">
        <v>0</v>
      </c>
    </row>
    <row r="32" spans="1:6" x14ac:dyDescent="0.25">
      <c r="A32" s="28" t="s">
        <v>0</v>
      </c>
      <c r="B32" s="28" t="s">
        <v>0</v>
      </c>
      <c r="C32" s="28" t="s">
        <v>0</v>
      </c>
      <c r="D32" t="s">
        <v>0</v>
      </c>
      <c r="E32" t="s">
        <v>0</v>
      </c>
      <c r="F32" t="s">
        <v>0</v>
      </c>
    </row>
    <row r="33" spans="1:6" x14ac:dyDescent="0.25">
      <c r="A33" s="28" t="s">
        <v>0</v>
      </c>
      <c r="B33" s="28" t="s">
        <v>0</v>
      </c>
      <c r="C33" s="28" t="s">
        <v>0</v>
      </c>
      <c r="D33" t="s">
        <v>0</v>
      </c>
      <c r="E33" t="s">
        <v>0</v>
      </c>
      <c r="F33" t="s">
        <v>0</v>
      </c>
    </row>
    <row r="34" spans="1:6" x14ac:dyDescent="0.25">
      <c r="A34" s="28" t="s">
        <v>0</v>
      </c>
      <c r="B34" s="28" t="s">
        <v>0</v>
      </c>
      <c r="C34" s="28" t="s">
        <v>0</v>
      </c>
      <c r="D34" t="s">
        <v>0</v>
      </c>
      <c r="E34" t="s">
        <v>0</v>
      </c>
      <c r="F34" t="s">
        <v>0</v>
      </c>
    </row>
    <row r="35" spans="1:6" x14ac:dyDescent="0.25">
      <c r="A35" s="28" t="s">
        <v>0</v>
      </c>
      <c r="B35" s="28" t="s">
        <v>0</v>
      </c>
      <c r="C35" s="28" t="s">
        <v>0</v>
      </c>
      <c r="D35" t="s">
        <v>0</v>
      </c>
      <c r="E35" t="s">
        <v>0</v>
      </c>
      <c r="F35" t="s">
        <v>0</v>
      </c>
    </row>
    <row r="36" spans="1:6" x14ac:dyDescent="0.25">
      <c r="A36" s="28" t="s">
        <v>0</v>
      </c>
      <c r="B36" s="28" t="s">
        <v>0</v>
      </c>
      <c r="C36" s="28" t="s">
        <v>0</v>
      </c>
      <c r="D36" t="s">
        <v>0</v>
      </c>
      <c r="E36" t="s">
        <v>0</v>
      </c>
      <c r="F36" t="s">
        <v>0</v>
      </c>
    </row>
    <row r="37" spans="1:6" x14ac:dyDescent="0.25">
      <c r="A37" s="28" t="s">
        <v>0</v>
      </c>
      <c r="B37" s="28" t="s">
        <v>0</v>
      </c>
      <c r="C37" s="28" t="s">
        <v>0</v>
      </c>
      <c r="D37" t="s">
        <v>0</v>
      </c>
      <c r="E37" t="s">
        <v>0</v>
      </c>
      <c r="F37" t="s">
        <v>0</v>
      </c>
    </row>
    <row r="38" spans="1:6" x14ac:dyDescent="0.25">
      <c r="A38" s="28" t="s">
        <v>0</v>
      </c>
      <c r="B38" s="28" t="s">
        <v>0</v>
      </c>
      <c r="C38" s="28" t="s">
        <v>0</v>
      </c>
      <c r="D38" t="s">
        <v>0</v>
      </c>
      <c r="E38" t="s">
        <v>0</v>
      </c>
      <c r="F38" t="s">
        <v>0</v>
      </c>
    </row>
    <row r="39" spans="1:6" x14ac:dyDescent="0.25">
      <c r="A39" s="28" t="s">
        <v>0</v>
      </c>
      <c r="B39" s="28" t="s">
        <v>0</v>
      </c>
      <c r="C39" s="28" t="s">
        <v>0</v>
      </c>
      <c r="D39" t="s">
        <v>0</v>
      </c>
      <c r="E39" t="s">
        <v>0</v>
      </c>
      <c r="F39" t="s">
        <v>0</v>
      </c>
    </row>
    <row r="40" spans="1:6" x14ac:dyDescent="0.25">
      <c r="A40" s="28" t="s">
        <v>0</v>
      </c>
      <c r="B40" s="28" t="s">
        <v>0</v>
      </c>
      <c r="C40" s="28" t="s">
        <v>0</v>
      </c>
      <c r="D40" t="s">
        <v>0</v>
      </c>
      <c r="E40" t="s">
        <v>0</v>
      </c>
      <c r="F40" t="s">
        <v>0</v>
      </c>
    </row>
    <row r="41" spans="1:6" x14ac:dyDescent="0.25">
      <c r="A41" s="28" t="s">
        <v>0</v>
      </c>
      <c r="B41" s="28" t="s">
        <v>0</v>
      </c>
      <c r="C41" s="28" t="s">
        <v>0</v>
      </c>
      <c r="D41" t="s">
        <v>0</v>
      </c>
      <c r="E41" t="s">
        <v>0</v>
      </c>
      <c r="F41" t="s">
        <v>0</v>
      </c>
    </row>
    <row r="42" spans="1:6" x14ac:dyDescent="0.25">
      <c r="A42" s="28" t="s">
        <v>0</v>
      </c>
      <c r="B42" s="28" t="s">
        <v>0</v>
      </c>
      <c r="C42" s="28" t="s">
        <v>0</v>
      </c>
      <c r="D42" t="s">
        <v>0</v>
      </c>
      <c r="E42" t="s">
        <v>0</v>
      </c>
      <c r="F42" t="s">
        <v>0</v>
      </c>
    </row>
    <row r="43" spans="1:6" x14ac:dyDescent="0.25">
      <c r="A43" s="28" t="s">
        <v>0</v>
      </c>
      <c r="B43" s="28" t="s">
        <v>0</v>
      </c>
      <c r="C43" s="28" t="s">
        <v>0</v>
      </c>
      <c r="D43" t="s">
        <v>0</v>
      </c>
      <c r="E43" t="s">
        <v>0</v>
      </c>
      <c r="F43" t="s">
        <v>0</v>
      </c>
    </row>
    <row r="44" spans="1:6" x14ac:dyDescent="0.25">
      <c r="A44" s="28" t="s">
        <v>0</v>
      </c>
      <c r="B44" s="28" t="s">
        <v>0</v>
      </c>
      <c r="C44" s="28" t="s">
        <v>0</v>
      </c>
      <c r="D44" t="s">
        <v>0</v>
      </c>
      <c r="E44" t="s">
        <v>0</v>
      </c>
      <c r="F44" t="s">
        <v>0</v>
      </c>
    </row>
    <row r="45" spans="1:6" x14ac:dyDescent="0.25">
      <c r="A45" s="28" t="s">
        <v>0</v>
      </c>
      <c r="B45" s="28" t="s">
        <v>0</v>
      </c>
      <c r="C45" s="28" t="s">
        <v>0</v>
      </c>
      <c r="D45" t="s">
        <v>0</v>
      </c>
      <c r="E45" t="s">
        <v>0</v>
      </c>
      <c r="F45" t="s">
        <v>0</v>
      </c>
    </row>
    <row r="46" spans="1:6" x14ac:dyDescent="0.25">
      <c r="A46" s="28" t="s">
        <v>0</v>
      </c>
      <c r="B46" s="28" t="s">
        <v>0</v>
      </c>
      <c r="C46" s="28" t="s">
        <v>0</v>
      </c>
      <c r="D46" t="s">
        <v>0</v>
      </c>
      <c r="E46" t="s">
        <v>0</v>
      </c>
      <c r="F46" t="s">
        <v>0</v>
      </c>
    </row>
    <row r="47" spans="1:6" x14ac:dyDescent="0.25">
      <c r="A47" s="28" t="s">
        <v>0</v>
      </c>
      <c r="B47" s="28" t="s">
        <v>0</v>
      </c>
      <c r="C47" s="28" t="s">
        <v>0</v>
      </c>
      <c r="D47" t="s">
        <v>0</v>
      </c>
      <c r="E47" t="s">
        <v>0</v>
      </c>
      <c r="F47" t="s">
        <v>0</v>
      </c>
    </row>
    <row r="48" spans="1:6" x14ac:dyDescent="0.25">
      <c r="A48" s="28" t="s">
        <v>0</v>
      </c>
      <c r="B48" s="28" t="s">
        <v>0</v>
      </c>
      <c r="C48" s="28" t="s">
        <v>0</v>
      </c>
      <c r="D48" t="s">
        <v>0</v>
      </c>
      <c r="E48" t="s">
        <v>0</v>
      </c>
      <c r="F48" t="s">
        <v>0</v>
      </c>
    </row>
    <row r="49" spans="1:6" x14ac:dyDescent="0.25">
      <c r="A49" s="28" t="s">
        <v>0</v>
      </c>
      <c r="B49" s="28" t="s">
        <v>0</v>
      </c>
      <c r="C49" s="28" t="s">
        <v>0</v>
      </c>
      <c r="D49" t="s">
        <v>0</v>
      </c>
      <c r="E49" t="s">
        <v>0</v>
      </c>
      <c r="F49" t="s">
        <v>0</v>
      </c>
    </row>
    <row r="50" spans="1:6" x14ac:dyDescent="0.25">
      <c r="A50" s="28" t="s">
        <v>0</v>
      </c>
      <c r="B50" s="28" t="s">
        <v>0</v>
      </c>
      <c r="C50" s="28" t="s">
        <v>0</v>
      </c>
      <c r="D50" t="s">
        <v>0</v>
      </c>
      <c r="E50" t="s">
        <v>0</v>
      </c>
      <c r="F50" t="s">
        <v>0</v>
      </c>
    </row>
    <row r="51" spans="1:6" x14ac:dyDescent="0.25">
      <c r="A51" s="28" t="s">
        <v>0</v>
      </c>
      <c r="B51" s="28" t="s">
        <v>0</v>
      </c>
      <c r="C51" s="28" t="s">
        <v>0</v>
      </c>
      <c r="D51" t="s">
        <v>0</v>
      </c>
      <c r="E51" t="s">
        <v>0</v>
      </c>
      <c r="F51" t="s">
        <v>0</v>
      </c>
    </row>
    <row r="52" spans="1:6" x14ac:dyDescent="0.25">
      <c r="A52" s="28" t="s">
        <v>0</v>
      </c>
      <c r="B52" s="28" t="s">
        <v>0</v>
      </c>
      <c r="C52" s="28" t="s">
        <v>0</v>
      </c>
      <c r="D52" t="s">
        <v>0</v>
      </c>
      <c r="E52" t="s">
        <v>0</v>
      </c>
      <c r="F52" t="s">
        <v>0</v>
      </c>
    </row>
    <row r="53" spans="1:6" x14ac:dyDescent="0.25">
      <c r="A53" s="28" t="s">
        <v>0</v>
      </c>
      <c r="B53" s="28" t="s">
        <v>0</v>
      </c>
      <c r="C53" s="28" t="s">
        <v>0</v>
      </c>
      <c r="D53" t="s">
        <v>0</v>
      </c>
      <c r="E53" t="s">
        <v>0</v>
      </c>
      <c r="F53" t="s">
        <v>0</v>
      </c>
    </row>
    <row r="54" spans="1:6" x14ac:dyDescent="0.25">
      <c r="A54" s="28" t="s">
        <v>0</v>
      </c>
      <c r="B54" s="28" t="s">
        <v>0</v>
      </c>
      <c r="C54" s="28" t="s">
        <v>0</v>
      </c>
      <c r="D54" t="s">
        <v>0</v>
      </c>
      <c r="E54" t="s">
        <v>0</v>
      </c>
      <c r="F54" t="s">
        <v>0</v>
      </c>
    </row>
    <row r="55" spans="1:6" x14ac:dyDescent="0.25">
      <c r="A55" s="28" t="s">
        <v>0</v>
      </c>
      <c r="B55" s="28" t="s">
        <v>0</v>
      </c>
      <c r="C55" s="28" t="s">
        <v>0</v>
      </c>
      <c r="D55" t="s">
        <v>0</v>
      </c>
      <c r="E55" t="s">
        <v>0</v>
      </c>
      <c r="F55" t="s">
        <v>0</v>
      </c>
    </row>
    <row r="56" spans="1:6" x14ac:dyDescent="0.25">
      <c r="A56" s="28" t="s">
        <v>0</v>
      </c>
      <c r="B56" s="28" t="s">
        <v>0</v>
      </c>
      <c r="C56" s="28" t="s">
        <v>0</v>
      </c>
      <c r="D56" t="s">
        <v>0</v>
      </c>
      <c r="E56" t="s">
        <v>0</v>
      </c>
      <c r="F56" t="s">
        <v>0</v>
      </c>
    </row>
    <row r="57" spans="1:6" x14ac:dyDescent="0.25">
      <c r="A57" s="28" t="s">
        <v>0</v>
      </c>
      <c r="B57" s="28" t="s">
        <v>0</v>
      </c>
      <c r="C57" s="28" t="s">
        <v>0</v>
      </c>
      <c r="D57" t="s">
        <v>0</v>
      </c>
      <c r="E57" t="s">
        <v>0</v>
      </c>
      <c r="F57" t="s">
        <v>0</v>
      </c>
    </row>
    <row r="58" spans="1:6" x14ac:dyDescent="0.25">
      <c r="A58" s="28" t="s">
        <v>0</v>
      </c>
      <c r="B58" s="28" t="s">
        <v>0</v>
      </c>
      <c r="C58" s="28" t="s">
        <v>0</v>
      </c>
      <c r="D58" t="s">
        <v>0</v>
      </c>
      <c r="E58" t="s">
        <v>0</v>
      </c>
      <c r="F58" t="s">
        <v>0</v>
      </c>
    </row>
    <row r="59" spans="1:6" x14ac:dyDescent="0.25">
      <c r="A59" s="28" t="s">
        <v>0</v>
      </c>
      <c r="B59" s="28" t="s">
        <v>0</v>
      </c>
      <c r="C59" s="28" t="s">
        <v>0</v>
      </c>
      <c r="D59" t="s">
        <v>0</v>
      </c>
      <c r="E59" t="s">
        <v>0</v>
      </c>
      <c r="F59" t="s">
        <v>0</v>
      </c>
    </row>
    <row r="60" spans="1:6" x14ac:dyDescent="0.25">
      <c r="A60" s="28" t="s">
        <v>0</v>
      </c>
      <c r="B60" s="28" t="s">
        <v>0</v>
      </c>
      <c r="C60" s="28" t="s">
        <v>0</v>
      </c>
      <c r="D60" t="s">
        <v>0</v>
      </c>
      <c r="E60" t="s">
        <v>0</v>
      </c>
      <c r="F60" t="s">
        <v>0</v>
      </c>
    </row>
    <row r="61" spans="1:6" x14ac:dyDescent="0.25">
      <c r="A61" s="28" t="s">
        <v>0</v>
      </c>
      <c r="B61" s="28" t="s">
        <v>0</v>
      </c>
      <c r="C61" s="28" t="s">
        <v>0</v>
      </c>
      <c r="D61" t="s">
        <v>0</v>
      </c>
      <c r="E61" t="s">
        <v>0</v>
      </c>
      <c r="F61" t="s">
        <v>0</v>
      </c>
    </row>
    <row r="62" spans="1:6" x14ac:dyDescent="0.25">
      <c r="A62" s="28" t="s">
        <v>0</v>
      </c>
      <c r="B62" s="28" t="s">
        <v>0</v>
      </c>
      <c r="C62" s="28" t="s">
        <v>0</v>
      </c>
      <c r="D62" t="s">
        <v>0</v>
      </c>
      <c r="E62" t="s">
        <v>0</v>
      </c>
      <c r="F62" t="s">
        <v>0</v>
      </c>
    </row>
    <row r="63" spans="1:6" x14ac:dyDescent="0.25">
      <c r="A63" s="28" t="s">
        <v>0</v>
      </c>
      <c r="B63" s="28" t="s">
        <v>0</v>
      </c>
      <c r="C63" s="28" t="s">
        <v>0</v>
      </c>
      <c r="D63" t="s">
        <v>0</v>
      </c>
      <c r="E63" t="s">
        <v>0</v>
      </c>
      <c r="F63" t="s">
        <v>0</v>
      </c>
    </row>
    <row r="64" spans="1:6" x14ac:dyDescent="0.25">
      <c r="A64" s="28" t="s">
        <v>0</v>
      </c>
      <c r="B64" s="28" t="s">
        <v>0</v>
      </c>
      <c r="C64" s="28" t="s">
        <v>0</v>
      </c>
      <c r="D64" t="s">
        <v>0</v>
      </c>
      <c r="E64" t="s">
        <v>0</v>
      </c>
      <c r="F64" t="s">
        <v>0</v>
      </c>
    </row>
    <row r="65" spans="1:6" x14ac:dyDescent="0.25">
      <c r="A65" s="28" t="s">
        <v>0</v>
      </c>
      <c r="B65" s="28" t="s">
        <v>0</v>
      </c>
      <c r="C65" s="28" t="s">
        <v>0</v>
      </c>
      <c r="D65" t="s">
        <v>0</v>
      </c>
      <c r="E65" t="s">
        <v>0</v>
      </c>
      <c r="F65" t="s">
        <v>0</v>
      </c>
    </row>
    <row r="66" spans="1:6" x14ac:dyDescent="0.25">
      <c r="A66" s="28" t="s">
        <v>0</v>
      </c>
      <c r="B66" s="28" t="s">
        <v>0</v>
      </c>
      <c r="C66" s="28" t="s">
        <v>0</v>
      </c>
      <c r="D66" t="s">
        <v>0</v>
      </c>
      <c r="E66" t="s">
        <v>0</v>
      </c>
      <c r="F66" t="s">
        <v>0</v>
      </c>
    </row>
    <row r="67" spans="1:6" x14ac:dyDescent="0.25">
      <c r="A67" s="28" t="s">
        <v>0</v>
      </c>
      <c r="B67" s="28" t="s">
        <v>0</v>
      </c>
      <c r="C67" s="28" t="s">
        <v>0</v>
      </c>
      <c r="D67" t="s">
        <v>0</v>
      </c>
      <c r="E67" t="s">
        <v>0</v>
      </c>
      <c r="F67" t="s">
        <v>0</v>
      </c>
    </row>
    <row r="68" spans="1:6" x14ac:dyDescent="0.25">
      <c r="A68" s="28" t="s">
        <v>0</v>
      </c>
      <c r="B68" s="28" t="s">
        <v>0</v>
      </c>
      <c r="C68" s="28" t="s">
        <v>0</v>
      </c>
      <c r="D68" t="s">
        <v>0</v>
      </c>
      <c r="E68" t="s">
        <v>0</v>
      </c>
      <c r="F68" t="s">
        <v>0</v>
      </c>
    </row>
    <row r="69" spans="1:6" x14ac:dyDescent="0.25">
      <c r="A69" s="28" t="s">
        <v>0</v>
      </c>
      <c r="B69" s="28" t="s">
        <v>0</v>
      </c>
      <c r="C69" s="28" t="s">
        <v>0</v>
      </c>
      <c r="D69" t="s">
        <v>0</v>
      </c>
      <c r="E69" t="s">
        <v>0</v>
      </c>
      <c r="F69" t="s">
        <v>0</v>
      </c>
    </row>
    <row r="70" spans="1:6" x14ac:dyDescent="0.25">
      <c r="A70" s="28" t="s">
        <v>0</v>
      </c>
      <c r="B70" s="28" t="s">
        <v>0</v>
      </c>
      <c r="C70" s="28" t="s">
        <v>0</v>
      </c>
      <c r="D70" t="s">
        <v>0</v>
      </c>
      <c r="E70" t="s">
        <v>0</v>
      </c>
      <c r="F70" t="s">
        <v>0</v>
      </c>
    </row>
    <row r="71" spans="1:6" x14ac:dyDescent="0.25">
      <c r="A71" s="28" t="s">
        <v>0</v>
      </c>
      <c r="B71" s="28" t="s">
        <v>0</v>
      </c>
      <c r="C71" s="28" t="s">
        <v>0</v>
      </c>
      <c r="D71" t="s">
        <v>0</v>
      </c>
      <c r="E71" t="s">
        <v>0</v>
      </c>
      <c r="F71" t="s">
        <v>0</v>
      </c>
    </row>
    <row r="72" spans="1:6" x14ac:dyDescent="0.25">
      <c r="A72" s="28" t="s">
        <v>0</v>
      </c>
      <c r="B72" s="28" t="s">
        <v>0</v>
      </c>
      <c r="C72" s="28" t="s">
        <v>0</v>
      </c>
      <c r="D72" t="s">
        <v>0</v>
      </c>
      <c r="E72" t="s">
        <v>0</v>
      </c>
      <c r="F72" t="s">
        <v>0</v>
      </c>
    </row>
    <row r="73" spans="1:6" x14ac:dyDescent="0.25">
      <c r="A73" s="28" t="s">
        <v>0</v>
      </c>
      <c r="B73" s="28" t="s">
        <v>0</v>
      </c>
      <c r="C73" s="28" t="s">
        <v>0</v>
      </c>
      <c r="D73" t="s">
        <v>0</v>
      </c>
      <c r="E73" t="s">
        <v>0</v>
      </c>
      <c r="F73" t="s">
        <v>0</v>
      </c>
    </row>
    <row r="74" spans="1:6" x14ac:dyDescent="0.25">
      <c r="A74" s="28" t="s">
        <v>0</v>
      </c>
      <c r="B74" s="28" t="s">
        <v>0</v>
      </c>
      <c r="C74" s="28" t="s">
        <v>0</v>
      </c>
      <c r="D74" t="s">
        <v>0</v>
      </c>
      <c r="E74" t="s">
        <v>0</v>
      </c>
      <c r="F74" t="s">
        <v>0</v>
      </c>
    </row>
    <row r="75" spans="1:6" x14ac:dyDescent="0.25">
      <c r="A75" s="28" t="s">
        <v>0</v>
      </c>
      <c r="B75" s="28" t="s">
        <v>0</v>
      </c>
      <c r="C75" s="28" t="s">
        <v>0</v>
      </c>
      <c r="D75" t="s">
        <v>0</v>
      </c>
      <c r="E75" t="s">
        <v>0</v>
      </c>
      <c r="F75" t="s">
        <v>0</v>
      </c>
    </row>
    <row r="76" spans="1:6" x14ac:dyDescent="0.25">
      <c r="A76" s="28" t="s">
        <v>0</v>
      </c>
      <c r="B76" s="28" t="s">
        <v>0</v>
      </c>
      <c r="C76" s="28" t="s">
        <v>0</v>
      </c>
      <c r="D76" t="s">
        <v>0</v>
      </c>
      <c r="E76" t="s">
        <v>0</v>
      </c>
      <c r="F76" t="s">
        <v>0</v>
      </c>
    </row>
    <row r="77" spans="1:6" x14ac:dyDescent="0.25">
      <c r="A77" s="28" t="s">
        <v>0</v>
      </c>
      <c r="B77" s="28" t="s">
        <v>0</v>
      </c>
      <c r="C77" s="28" t="s">
        <v>0</v>
      </c>
      <c r="D77" t="s">
        <v>0</v>
      </c>
      <c r="E77" t="s">
        <v>0</v>
      </c>
      <c r="F77" t="s">
        <v>0</v>
      </c>
    </row>
    <row r="78" spans="1:6" x14ac:dyDescent="0.25">
      <c r="A78" s="28" t="s">
        <v>0</v>
      </c>
      <c r="B78" s="28" t="s">
        <v>0</v>
      </c>
      <c r="C78" s="28" t="s">
        <v>0</v>
      </c>
      <c r="D78" t="s">
        <v>0</v>
      </c>
      <c r="E78" t="s">
        <v>0</v>
      </c>
      <c r="F78" t="s">
        <v>0</v>
      </c>
    </row>
    <row r="79" spans="1:6" x14ac:dyDescent="0.25">
      <c r="A79" s="28" t="s">
        <v>0</v>
      </c>
      <c r="B79" s="28" t="s">
        <v>0</v>
      </c>
      <c r="C79" s="28" t="s">
        <v>0</v>
      </c>
      <c r="D79" t="s">
        <v>0</v>
      </c>
      <c r="E79" t="s">
        <v>0</v>
      </c>
      <c r="F79" t="s">
        <v>0</v>
      </c>
    </row>
    <row r="80" spans="1:6" x14ac:dyDescent="0.25">
      <c r="A80" s="28" t="s">
        <v>0</v>
      </c>
      <c r="B80" s="28" t="s">
        <v>0</v>
      </c>
      <c r="C80" s="28" t="s">
        <v>0</v>
      </c>
      <c r="D80" t="s">
        <v>0</v>
      </c>
      <c r="E80" t="s">
        <v>0</v>
      </c>
      <c r="F80" t="s">
        <v>0</v>
      </c>
    </row>
    <row r="81" spans="1:6" x14ac:dyDescent="0.25">
      <c r="A81" s="28" t="s">
        <v>0</v>
      </c>
      <c r="B81" s="28" t="s">
        <v>0</v>
      </c>
      <c r="C81" s="28" t="s">
        <v>0</v>
      </c>
      <c r="D81" t="s">
        <v>0</v>
      </c>
      <c r="E81" t="s">
        <v>0</v>
      </c>
      <c r="F81" t="s">
        <v>0</v>
      </c>
    </row>
    <row r="82" spans="1:6" x14ac:dyDescent="0.25">
      <c r="A82" s="28" t="s">
        <v>0</v>
      </c>
      <c r="B82" s="28" t="s">
        <v>0</v>
      </c>
      <c r="C82" s="28" t="s">
        <v>0</v>
      </c>
      <c r="D82" t="s">
        <v>0</v>
      </c>
      <c r="E82" t="s">
        <v>0</v>
      </c>
      <c r="F82" t="s">
        <v>0</v>
      </c>
    </row>
    <row r="83" spans="1:6" x14ac:dyDescent="0.25">
      <c r="A83" s="28" t="s">
        <v>0</v>
      </c>
      <c r="B83" s="28" t="s">
        <v>0</v>
      </c>
      <c r="C83" s="28" t="s">
        <v>0</v>
      </c>
      <c r="D83" t="s">
        <v>0</v>
      </c>
      <c r="E83" t="s">
        <v>0</v>
      </c>
      <c r="F83" t="s">
        <v>0</v>
      </c>
    </row>
    <row r="84" spans="1:6" x14ac:dyDescent="0.25">
      <c r="A84" s="28" t="s">
        <v>0</v>
      </c>
      <c r="B84" s="28" t="s">
        <v>0</v>
      </c>
      <c r="C84" s="28" t="s">
        <v>0</v>
      </c>
      <c r="D84" t="s">
        <v>0</v>
      </c>
      <c r="E84" t="s">
        <v>0</v>
      </c>
      <c r="F84" t="s">
        <v>0</v>
      </c>
    </row>
    <row r="85" spans="1:6" x14ac:dyDescent="0.25">
      <c r="A85" s="28" t="s">
        <v>0</v>
      </c>
      <c r="B85" s="28" t="s">
        <v>0</v>
      </c>
      <c r="C85" s="28" t="s">
        <v>0</v>
      </c>
      <c r="D85" t="s">
        <v>0</v>
      </c>
      <c r="E85" t="s">
        <v>0</v>
      </c>
      <c r="F85" t="s">
        <v>0</v>
      </c>
    </row>
    <row r="86" spans="1:6" x14ac:dyDescent="0.25">
      <c r="A86" s="28" t="s">
        <v>0</v>
      </c>
      <c r="B86" s="28" t="s">
        <v>0</v>
      </c>
      <c r="C86" s="28" t="s">
        <v>0</v>
      </c>
      <c r="D86" t="s">
        <v>0</v>
      </c>
      <c r="E86" t="s">
        <v>0</v>
      </c>
      <c r="F86" t="s">
        <v>0</v>
      </c>
    </row>
    <row r="87" spans="1:6" x14ac:dyDescent="0.25">
      <c r="A87" s="28" t="s">
        <v>0</v>
      </c>
      <c r="B87" s="28" t="s">
        <v>0</v>
      </c>
      <c r="C87" s="28" t="s">
        <v>0</v>
      </c>
      <c r="D87" t="s">
        <v>0</v>
      </c>
      <c r="E87" t="s">
        <v>0</v>
      </c>
      <c r="F87" t="s">
        <v>0</v>
      </c>
    </row>
    <row r="88" spans="1:6" x14ac:dyDescent="0.25">
      <c r="A88" s="28" t="s">
        <v>0</v>
      </c>
      <c r="B88" s="28" t="s">
        <v>0</v>
      </c>
      <c r="C88" s="28" t="s">
        <v>0</v>
      </c>
      <c r="D88" t="s">
        <v>0</v>
      </c>
      <c r="E88" t="s">
        <v>0</v>
      </c>
      <c r="F88" t="s">
        <v>0</v>
      </c>
    </row>
    <row r="89" spans="1:6" x14ac:dyDescent="0.25">
      <c r="A89" s="28" t="s">
        <v>0</v>
      </c>
      <c r="B89" s="28" t="s">
        <v>0</v>
      </c>
      <c r="C89" s="28" t="s">
        <v>0</v>
      </c>
      <c r="D89" t="s">
        <v>0</v>
      </c>
      <c r="E89" t="s">
        <v>0</v>
      </c>
      <c r="F89" t="s">
        <v>0</v>
      </c>
    </row>
    <row r="90" spans="1:6" x14ac:dyDescent="0.25">
      <c r="A90" s="28" t="s">
        <v>0</v>
      </c>
      <c r="B90" s="28" t="s">
        <v>0</v>
      </c>
      <c r="C90" s="28" t="s">
        <v>0</v>
      </c>
      <c r="D90" t="s">
        <v>0</v>
      </c>
      <c r="E90" t="s">
        <v>0</v>
      </c>
      <c r="F90" t="s">
        <v>0</v>
      </c>
    </row>
    <row r="91" spans="1:6" x14ac:dyDescent="0.25">
      <c r="A91" s="28" t="s">
        <v>0</v>
      </c>
      <c r="B91" s="28" t="s">
        <v>0</v>
      </c>
      <c r="C91" s="28" t="s">
        <v>0</v>
      </c>
      <c r="D91" t="s">
        <v>0</v>
      </c>
      <c r="E91" t="s">
        <v>0</v>
      </c>
      <c r="F91" t="s">
        <v>0</v>
      </c>
    </row>
    <row r="92" spans="1:6" x14ac:dyDescent="0.25">
      <c r="A92" s="28" t="s">
        <v>0</v>
      </c>
      <c r="B92" s="28" t="s">
        <v>0</v>
      </c>
      <c r="C92" s="28" t="s">
        <v>0</v>
      </c>
      <c r="D92" t="s">
        <v>0</v>
      </c>
      <c r="E92" t="s">
        <v>0</v>
      </c>
      <c r="F92" t="s">
        <v>0</v>
      </c>
    </row>
    <row r="93" spans="1:6" x14ac:dyDescent="0.25">
      <c r="A93" s="28" t="s">
        <v>0</v>
      </c>
      <c r="B93" s="28" t="s">
        <v>0</v>
      </c>
      <c r="C93" s="28" t="s">
        <v>0</v>
      </c>
      <c r="D93" t="s">
        <v>0</v>
      </c>
      <c r="E93" t="s">
        <v>0</v>
      </c>
      <c r="F93" t="s">
        <v>0</v>
      </c>
    </row>
    <row r="94" spans="1:6" x14ac:dyDescent="0.25">
      <c r="A94" s="28" t="s">
        <v>0</v>
      </c>
      <c r="B94" s="28" t="s">
        <v>0</v>
      </c>
      <c r="C94" s="28" t="s">
        <v>0</v>
      </c>
      <c r="D94" t="s">
        <v>0</v>
      </c>
      <c r="E94" t="s">
        <v>0</v>
      </c>
      <c r="F94" t="s">
        <v>0</v>
      </c>
    </row>
    <row r="95" spans="1:6" x14ac:dyDescent="0.25">
      <c r="A95" s="28" t="s">
        <v>0</v>
      </c>
      <c r="B95" s="28" t="s">
        <v>0</v>
      </c>
      <c r="C95" s="28" t="s">
        <v>0</v>
      </c>
      <c r="D95" t="s">
        <v>0</v>
      </c>
      <c r="E95" t="s">
        <v>0</v>
      </c>
      <c r="F95" t="s">
        <v>0</v>
      </c>
    </row>
    <row r="96" spans="1:6" x14ac:dyDescent="0.25">
      <c r="A96" s="28" t="s">
        <v>0</v>
      </c>
      <c r="B96" s="28" t="s">
        <v>0</v>
      </c>
      <c r="C96" s="28" t="s">
        <v>0</v>
      </c>
      <c r="D96" t="s">
        <v>0</v>
      </c>
      <c r="E96" t="s">
        <v>0</v>
      </c>
      <c r="F96" t="s">
        <v>0</v>
      </c>
    </row>
    <row r="97" spans="1:6" x14ac:dyDescent="0.25">
      <c r="A97" s="28" t="s">
        <v>0</v>
      </c>
      <c r="B97" s="28" t="s">
        <v>0</v>
      </c>
      <c r="C97" s="28" t="s">
        <v>0</v>
      </c>
      <c r="D97" t="s">
        <v>0</v>
      </c>
      <c r="E97" t="s">
        <v>0</v>
      </c>
      <c r="F97" t="s">
        <v>0</v>
      </c>
    </row>
    <row r="98" spans="1:6" x14ac:dyDescent="0.25">
      <c r="A98" s="28" t="s">
        <v>0</v>
      </c>
      <c r="B98" s="28" t="s">
        <v>0</v>
      </c>
      <c r="C98" s="28" t="s">
        <v>0</v>
      </c>
      <c r="D98" t="s">
        <v>0</v>
      </c>
      <c r="E98" t="s">
        <v>0</v>
      </c>
      <c r="F98" t="s">
        <v>0</v>
      </c>
    </row>
    <row r="99" spans="1:6" x14ac:dyDescent="0.25">
      <c r="A99" s="28" t="s">
        <v>0</v>
      </c>
      <c r="B99" s="28" t="s">
        <v>0</v>
      </c>
      <c r="C99" s="28" t="s">
        <v>0</v>
      </c>
      <c r="D99" t="s">
        <v>0</v>
      </c>
      <c r="E99" t="s">
        <v>0</v>
      </c>
      <c r="F99" t="s">
        <v>0</v>
      </c>
    </row>
    <row r="100" spans="1:6" x14ac:dyDescent="0.25">
      <c r="A100" s="28" t="s">
        <v>0</v>
      </c>
      <c r="B100" s="28" t="s">
        <v>0</v>
      </c>
      <c r="C100" s="28" t="s">
        <v>0</v>
      </c>
      <c r="D100" t="s">
        <v>0</v>
      </c>
      <c r="E100" t="s">
        <v>0</v>
      </c>
      <c r="F100" t="s">
        <v>0</v>
      </c>
    </row>
    <row r="101" spans="1:6" x14ac:dyDescent="0.25">
      <c r="A101" s="28" t="s">
        <v>0</v>
      </c>
      <c r="B101" s="28" t="s">
        <v>0</v>
      </c>
      <c r="C101" s="28" t="s">
        <v>0</v>
      </c>
      <c r="D101" t="s">
        <v>0</v>
      </c>
      <c r="E101" t="s">
        <v>0</v>
      </c>
      <c r="F101" t="s">
        <v>0</v>
      </c>
    </row>
    <row r="102" spans="1:6" x14ac:dyDescent="0.25">
      <c r="A102" s="28" t="s">
        <v>0</v>
      </c>
      <c r="B102" s="28" t="s">
        <v>0</v>
      </c>
      <c r="C102" s="28" t="s">
        <v>0</v>
      </c>
      <c r="D102" t="s">
        <v>0</v>
      </c>
      <c r="E102" t="s">
        <v>0</v>
      </c>
      <c r="F102" t="s">
        <v>0</v>
      </c>
    </row>
    <row r="103" spans="1:6" x14ac:dyDescent="0.25">
      <c r="A103" s="28" t="s">
        <v>0</v>
      </c>
      <c r="B103" s="28" t="s">
        <v>0</v>
      </c>
      <c r="C103" s="28" t="s">
        <v>0</v>
      </c>
      <c r="D103" t="s">
        <v>0</v>
      </c>
      <c r="E103" t="s">
        <v>0</v>
      </c>
      <c r="F103" t="s">
        <v>0</v>
      </c>
    </row>
    <row r="104" spans="1:6" x14ac:dyDescent="0.25">
      <c r="A104" s="28" t="s">
        <v>0</v>
      </c>
      <c r="B104" s="28" t="s">
        <v>0</v>
      </c>
      <c r="C104" s="28" t="s">
        <v>0</v>
      </c>
      <c r="D104" t="s">
        <v>0</v>
      </c>
      <c r="E104" t="s">
        <v>0</v>
      </c>
      <c r="F104" t="s">
        <v>0</v>
      </c>
    </row>
    <row r="105" spans="1:6" x14ac:dyDescent="0.25">
      <c r="A105" s="28" t="s">
        <v>0</v>
      </c>
      <c r="B105" s="28" t="s">
        <v>0</v>
      </c>
      <c r="C105" s="28" t="s">
        <v>0</v>
      </c>
      <c r="D105" t="s">
        <v>0</v>
      </c>
      <c r="E105" t="s">
        <v>0</v>
      </c>
      <c r="F105" t="s">
        <v>0</v>
      </c>
    </row>
    <row r="106" spans="1:6" x14ac:dyDescent="0.25">
      <c r="A106" s="28" t="s">
        <v>0</v>
      </c>
      <c r="B106" s="28" t="s">
        <v>0</v>
      </c>
      <c r="C106" s="28" t="s">
        <v>0</v>
      </c>
      <c r="D106" t="s">
        <v>0</v>
      </c>
      <c r="E106" t="s">
        <v>0</v>
      </c>
      <c r="F106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D7D31"/>
  </sheetPr>
  <dimension ref="A1:I57"/>
  <sheetFormatPr defaultRowHeight="15" outlineLevelRow="0" outlineLevelCol="0" x14ac:dyDescent="55"/>
  <cols>
    <col min="1" max="8" width="12" customWidth="1"/>
    <col min="9" max="9" width="12" hidden="1" customWidth="1"/>
  </cols>
  <sheetData>
    <row r="1" spans="1:8" s="50" customFormat="1" x14ac:dyDescent="0.25">
      <c r="A1" s="50" t="s">
        <v>205</v>
      </c>
      <c r="B1" s="50"/>
      <c r="C1" s="50"/>
      <c r="D1" s="50"/>
      <c r="E1" s="50"/>
      <c r="F1" s="50"/>
      <c r="G1" s="50"/>
      <c r="H1" s="50"/>
    </row>
    <row r="2" spans="1:1" x14ac:dyDescent="0.25">
      <c r="A2" t="s">
        <v>0</v>
      </c>
    </row>
    <row r="3" spans="1:9" s="47" customFormat="1" x14ac:dyDescent="0.25">
      <c r="A3" s="27" t="s">
        <v>206</v>
      </c>
      <c r="B3" s="27" t="s">
        <v>207</v>
      </c>
      <c r="C3" s="27" t="s">
        <v>118</v>
      </c>
      <c r="D3" s="27" t="s">
        <v>208</v>
      </c>
      <c r="E3" s="27" t="s">
        <v>122</v>
      </c>
      <c r="F3" s="27" t="s">
        <v>209</v>
      </c>
      <c r="G3" s="27" t="s">
        <v>210</v>
      </c>
      <c r="H3" s="27" t="s">
        <v>211</v>
      </c>
      <c r="I3" s="47" t="s">
        <v>148</v>
      </c>
    </row>
    <row r="4" spans="1:9" x14ac:dyDescent="0.25">
      <c r="A4" s="43">
        <v>1</v>
      </c>
      <c r="B4" s="28" t="s">
        <v>0</v>
      </c>
      <c r="C4" s="43">
        <f>IF(B4="","",IFERROR(DMAX('Workout Log'!$A$8:$T$209,"SquatWt",$I$3:$I4),0))</f>
      </c>
      <c r="D4" s="43">
        <f>IF(B4="","",IFERROR(DMAX('Workout Log'!$A$8:$T$209,"BenchWt",$I$3:$I4),0))</f>
      </c>
      <c r="E4" s="43">
        <f>IF(B4="","",IFERROR(DMAX('Workout Log'!$A$8:$T$209,"DeadliftWt",$I$3:$I4),0))</f>
      </c>
      <c r="F4" s="43">
        <f>IF(B4="","",IFERROR(DMAX('Workout Log'!$A$8:$T$209,"OHPWt",$I$3:$I4),0))</f>
      </c>
      <c r="G4" s="43">
        <f>IF(B4="","",IFERROR(DMAX('Workout Log'!$A$8:$T$209,"CleanWt",$I$3:$I4),0))</f>
      </c>
      <c r="H4" s="43">
        <f>IF(B4="","",IFERROR(DMAX('Body Weight Log'!$A$1:$B$200,"Weight (lbs)",$I$3:$I4),0))</f>
      </c>
      <c r="I4">
        <f>IF(B4="","","&lt;="&amp;B4)</f>
      </c>
    </row>
    <row r="5" spans="1:9" x14ac:dyDescent="0.25">
      <c r="A5" s="43">
        <v>2</v>
      </c>
      <c r="B5" s="28" t="s">
        <v>0</v>
      </c>
      <c r="C5" s="43">
        <f>IF(B5="","",IFERROR(DMAX('Workout Log'!$A$8:$T$209,"SquatWt",$I$3:$I5),0))</f>
      </c>
      <c r="D5" s="43">
        <f>IF(B5="","",IFERROR(DMAX('Workout Log'!$A$8:$T$209,"BenchWt",$I$3:$I5),0))</f>
      </c>
      <c r="E5" s="43">
        <f>IF(B5="","",IFERROR(DMAX('Workout Log'!$A$8:$T$209,"DeadliftWt",$I$3:$I5),0))</f>
      </c>
      <c r="F5" s="43">
        <f>IF(B5="","",IFERROR(DMAX('Workout Log'!$A$8:$T$209,"OHPWt",$I$3:$I5),0))</f>
      </c>
      <c r="G5" s="43">
        <f>IF(B5="","",IFERROR(DMAX('Workout Log'!$A$8:$T$209,"CleanWt",$I$3:$I5),0))</f>
      </c>
      <c r="H5" s="43">
        <f>IF(B5="","",IFERROR(DMAX('Body Weight Log'!$A$1:$B$200,"Weight (lbs)",$I$3:$I5),0))</f>
      </c>
      <c r="I5">
        <f>IF(B5="","","&lt;="&amp;B5)</f>
      </c>
    </row>
    <row r="6" spans="1:9" x14ac:dyDescent="0.25">
      <c r="A6" s="43">
        <v>3</v>
      </c>
      <c r="B6" s="28" t="s">
        <v>0</v>
      </c>
      <c r="C6" s="43">
        <f>IF(B6="","",IFERROR(DMAX('Workout Log'!$A$8:$T$209,"SquatWt",$I$3:$I6),0))</f>
      </c>
      <c r="D6" s="43">
        <f>IF(B6="","",IFERROR(DMAX('Workout Log'!$A$8:$T$209,"BenchWt",$I$3:$I6),0))</f>
      </c>
      <c r="E6" s="43">
        <f>IF(B6="","",IFERROR(DMAX('Workout Log'!$A$8:$T$209,"DeadliftWt",$I$3:$I6),0))</f>
      </c>
      <c r="F6" s="43">
        <f>IF(B6="","",IFERROR(DMAX('Workout Log'!$A$8:$T$209,"OHPWt",$I$3:$I6),0))</f>
      </c>
      <c r="G6" s="43">
        <f>IF(B6="","",IFERROR(DMAX('Workout Log'!$A$8:$T$209,"CleanWt",$I$3:$I6),0))</f>
      </c>
      <c r="H6" s="43">
        <f>IF(B6="","",IFERROR(DMAX('Body Weight Log'!$A$1:$B$200,"Weight (lbs)",$I$3:$I6),0))</f>
      </c>
      <c r="I6">
        <f>IF(B6="","","&lt;="&amp;B6)</f>
      </c>
    </row>
    <row r="7" spans="1:9" x14ac:dyDescent="0.25">
      <c r="A7" s="43">
        <v>4</v>
      </c>
      <c r="B7" s="28" t="s">
        <v>0</v>
      </c>
      <c r="C7" s="43">
        <f>IF(B7="","",IFERROR(DMAX('Workout Log'!$A$8:$T$209,"SquatWt",$I$3:$I7),0))</f>
      </c>
      <c r="D7" s="43">
        <f>IF(B7="","",IFERROR(DMAX('Workout Log'!$A$8:$T$209,"BenchWt",$I$3:$I7),0))</f>
      </c>
      <c r="E7" s="43">
        <f>IF(B7="","",IFERROR(DMAX('Workout Log'!$A$8:$T$209,"DeadliftWt",$I$3:$I7),0))</f>
      </c>
      <c r="F7" s="43">
        <f>IF(B7="","",IFERROR(DMAX('Workout Log'!$A$8:$T$209,"OHPWt",$I$3:$I7),0))</f>
      </c>
      <c r="G7" s="43">
        <f>IF(B7="","",IFERROR(DMAX('Workout Log'!$A$8:$T$209,"CleanWt",$I$3:$I7),0))</f>
      </c>
      <c r="H7" s="43">
        <f>IF(B7="","",IFERROR(DMAX('Body Weight Log'!$A$1:$B$200,"Weight (lbs)",$I$3:$I7),0))</f>
      </c>
      <c r="I7">
        <f>IF(B7="","","&lt;="&amp;B7)</f>
      </c>
    </row>
    <row r="8" spans="1:9" x14ac:dyDescent="0.25">
      <c r="A8" s="43">
        <v>5</v>
      </c>
      <c r="B8" s="28" t="s">
        <v>0</v>
      </c>
      <c r="C8" s="43">
        <f>IF(B8="","",IFERROR(DMAX('Workout Log'!$A$8:$T$209,"SquatWt",$I$3:$I8),0))</f>
      </c>
      <c r="D8" s="43">
        <f>IF(B8="","",IFERROR(DMAX('Workout Log'!$A$8:$T$209,"BenchWt",$I$3:$I8),0))</f>
      </c>
      <c r="E8" s="43">
        <f>IF(B8="","",IFERROR(DMAX('Workout Log'!$A$8:$T$209,"DeadliftWt",$I$3:$I8),0))</f>
      </c>
      <c r="F8" s="43">
        <f>IF(B8="","",IFERROR(DMAX('Workout Log'!$A$8:$T$209,"OHPWt",$I$3:$I8),0))</f>
      </c>
      <c r="G8" s="43">
        <f>IF(B8="","",IFERROR(DMAX('Workout Log'!$A$8:$T$209,"CleanWt",$I$3:$I8),0))</f>
      </c>
      <c r="H8" s="43">
        <f>IF(B8="","",IFERROR(DMAX('Body Weight Log'!$A$1:$B$200,"Weight (lbs)",$I$3:$I8),0))</f>
      </c>
      <c r="I8">
        <f>IF(B8="","","&lt;="&amp;B8)</f>
      </c>
    </row>
    <row r="9" spans="1:9" x14ac:dyDescent="0.25">
      <c r="A9" s="43">
        <v>6</v>
      </c>
      <c r="B9" s="28" t="s">
        <v>0</v>
      </c>
      <c r="C9" s="43">
        <f>IF(B9="","",IFERROR(DMAX('Workout Log'!$A$8:$T$209,"SquatWt",$I$3:$I9),0))</f>
      </c>
      <c r="D9" s="43">
        <f>IF(B9="","",IFERROR(DMAX('Workout Log'!$A$8:$T$209,"BenchWt",$I$3:$I9),0))</f>
      </c>
      <c r="E9" s="43">
        <f>IF(B9="","",IFERROR(DMAX('Workout Log'!$A$8:$T$209,"DeadliftWt",$I$3:$I9),0))</f>
      </c>
      <c r="F9" s="43">
        <f>IF(B9="","",IFERROR(DMAX('Workout Log'!$A$8:$T$209,"OHPWt",$I$3:$I9),0))</f>
      </c>
      <c r="G9" s="43">
        <f>IF(B9="","",IFERROR(DMAX('Workout Log'!$A$8:$T$209,"CleanWt",$I$3:$I9),0))</f>
      </c>
      <c r="H9" s="43">
        <f>IF(B9="","",IFERROR(DMAX('Body Weight Log'!$A$1:$B$200,"Weight (lbs)",$I$3:$I9),0))</f>
      </c>
      <c r="I9">
        <f>IF(B9="","","&lt;="&amp;B9)</f>
      </c>
    </row>
    <row r="10" spans="1:9" x14ac:dyDescent="0.25">
      <c r="A10" s="43">
        <v>7</v>
      </c>
      <c r="B10" s="28" t="s">
        <v>0</v>
      </c>
      <c r="C10" s="43">
        <f>IF(B10="","",IFERROR(DMAX('Workout Log'!$A$8:$T$209,"SquatWt",$I$3:$I10),0))</f>
      </c>
      <c r="D10" s="43">
        <f>IF(B10="","",IFERROR(DMAX('Workout Log'!$A$8:$T$209,"BenchWt",$I$3:$I10),0))</f>
      </c>
      <c r="E10" s="43">
        <f>IF(B10="","",IFERROR(DMAX('Workout Log'!$A$8:$T$209,"DeadliftWt",$I$3:$I10),0))</f>
      </c>
      <c r="F10" s="43">
        <f>IF(B10="","",IFERROR(DMAX('Workout Log'!$A$8:$T$209,"OHPWt",$I$3:$I10),0))</f>
      </c>
      <c r="G10" s="43">
        <f>IF(B10="","",IFERROR(DMAX('Workout Log'!$A$8:$T$209,"CleanWt",$I$3:$I10),0))</f>
      </c>
      <c r="H10" s="43">
        <f>IF(B10="","",IFERROR(DMAX('Body Weight Log'!$A$1:$B$200,"Weight (lbs)",$I$3:$I10),0))</f>
      </c>
      <c r="I10">
        <f>IF(B10="","","&lt;="&amp;B10)</f>
      </c>
    </row>
    <row r="11" spans="1:9" x14ac:dyDescent="0.25">
      <c r="A11" s="43">
        <v>8</v>
      </c>
      <c r="B11" s="28" t="s">
        <v>0</v>
      </c>
      <c r="C11" s="43">
        <f>IF(B11="","",IFERROR(DMAX('Workout Log'!$A$8:$T$209,"SquatWt",$I$3:$I11),0))</f>
      </c>
      <c r="D11" s="43">
        <f>IF(B11="","",IFERROR(DMAX('Workout Log'!$A$8:$T$209,"BenchWt",$I$3:$I11),0))</f>
      </c>
      <c r="E11" s="43">
        <f>IF(B11="","",IFERROR(DMAX('Workout Log'!$A$8:$T$209,"DeadliftWt",$I$3:$I11),0))</f>
      </c>
      <c r="F11" s="43">
        <f>IF(B11="","",IFERROR(DMAX('Workout Log'!$A$8:$T$209,"OHPWt",$I$3:$I11),0))</f>
      </c>
      <c r="G11" s="43">
        <f>IF(B11="","",IFERROR(DMAX('Workout Log'!$A$8:$T$209,"CleanWt",$I$3:$I11),0))</f>
      </c>
      <c r="H11" s="43">
        <f>IF(B11="","",IFERROR(DMAX('Body Weight Log'!$A$1:$B$200,"Weight (lbs)",$I$3:$I11),0))</f>
      </c>
      <c r="I11">
        <f>IF(B11="","","&lt;="&amp;B11)</f>
      </c>
    </row>
    <row r="12" spans="1:9" x14ac:dyDescent="0.25">
      <c r="A12" s="43">
        <v>9</v>
      </c>
      <c r="B12" s="28" t="s">
        <v>0</v>
      </c>
      <c r="C12" s="43">
        <f>IF(B12="","",IFERROR(DMAX('Workout Log'!$A$8:$T$209,"SquatWt",$I$3:$I12),0))</f>
      </c>
      <c r="D12" s="43">
        <f>IF(B12="","",IFERROR(DMAX('Workout Log'!$A$8:$T$209,"BenchWt",$I$3:$I12),0))</f>
      </c>
      <c r="E12" s="43">
        <f>IF(B12="","",IFERROR(DMAX('Workout Log'!$A$8:$T$209,"DeadliftWt",$I$3:$I12),0))</f>
      </c>
      <c r="F12" s="43">
        <f>IF(B12="","",IFERROR(DMAX('Workout Log'!$A$8:$T$209,"OHPWt",$I$3:$I12),0))</f>
      </c>
      <c r="G12" s="43">
        <f>IF(B12="","",IFERROR(DMAX('Workout Log'!$A$8:$T$209,"CleanWt",$I$3:$I12),0))</f>
      </c>
      <c r="H12" s="43">
        <f>IF(B12="","",IFERROR(DMAX('Body Weight Log'!$A$1:$B$200,"Weight (lbs)",$I$3:$I12),0))</f>
      </c>
      <c r="I12">
        <f>IF(B12="","","&lt;="&amp;B12)</f>
      </c>
    </row>
    <row r="13" spans="1:9" x14ac:dyDescent="0.25">
      <c r="A13" s="43">
        <v>10</v>
      </c>
      <c r="B13" s="28" t="s">
        <v>0</v>
      </c>
      <c r="C13" s="43">
        <f>IF(B13="","",IFERROR(DMAX('Workout Log'!$A$8:$T$209,"SquatWt",$I$3:$I13),0))</f>
      </c>
      <c r="D13" s="43">
        <f>IF(B13="","",IFERROR(DMAX('Workout Log'!$A$8:$T$209,"BenchWt",$I$3:$I13),0))</f>
      </c>
      <c r="E13" s="43">
        <f>IF(B13="","",IFERROR(DMAX('Workout Log'!$A$8:$T$209,"DeadliftWt",$I$3:$I13),0))</f>
      </c>
      <c r="F13" s="43">
        <f>IF(B13="","",IFERROR(DMAX('Workout Log'!$A$8:$T$209,"OHPWt",$I$3:$I13),0))</f>
      </c>
      <c r="G13" s="43">
        <f>IF(B13="","",IFERROR(DMAX('Workout Log'!$A$8:$T$209,"CleanWt",$I$3:$I13),0))</f>
      </c>
      <c r="H13" s="43">
        <f>IF(B13="","",IFERROR(DMAX('Body Weight Log'!$A$1:$B$200,"Weight (lbs)",$I$3:$I13),0))</f>
      </c>
      <c r="I13">
        <f>IF(B13="","","&lt;="&amp;B13)</f>
      </c>
    </row>
    <row r="14" spans="1:9" x14ac:dyDescent="0.25">
      <c r="A14" s="43">
        <v>11</v>
      </c>
      <c r="B14" s="28" t="s">
        <v>0</v>
      </c>
      <c r="C14" s="43">
        <f>IF(B14="","",IFERROR(DMAX('Workout Log'!$A$8:$T$209,"SquatWt",$I$3:$I14),0))</f>
      </c>
      <c r="D14" s="43">
        <f>IF(B14="","",IFERROR(DMAX('Workout Log'!$A$8:$T$209,"BenchWt",$I$3:$I14),0))</f>
      </c>
      <c r="E14" s="43">
        <f>IF(B14="","",IFERROR(DMAX('Workout Log'!$A$8:$T$209,"DeadliftWt",$I$3:$I14),0))</f>
      </c>
      <c r="F14" s="43">
        <f>IF(B14="","",IFERROR(DMAX('Workout Log'!$A$8:$T$209,"OHPWt",$I$3:$I14),0))</f>
      </c>
      <c r="G14" s="43">
        <f>IF(B14="","",IFERROR(DMAX('Workout Log'!$A$8:$T$209,"CleanWt",$I$3:$I14),0))</f>
      </c>
      <c r="H14" s="43">
        <f>IF(B14="","",IFERROR(DMAX('Body Weight Log'!$A$1:$B$200,"Weight (lbs)",$I$3:$I14),0))</f>
      </c>
      <c r="I14">
        <f>IF(B14="","","&lt;="&amp;B14)</f>
      </c>
    </row>
    <row r="15" spans="1:9" x14ac:dyDescent="0.25">
      <c r="A15" s="43">
        <v>12</v>
      </c>
      <c r="B15" s="28" t="s">
        <v>0</v>
      </c>
      <c r="C15" s="43">
        <f>IF(B15="","",IFERROR(DMAX('Workout Log'!$A$8:$T$209,"SquatWt",$I$3:$I15),0))</f>
      </c>
      <c r="D15" s="43">
        <f>IF(B15="","",IFERROR(DMAX('Workout Log'!$A$8:$T$209,"BenchWt",$I$3:$I15),0))</f>
      </c>
      <c r="E15" s="43">
        <f>IF(B15="","",IFERROR(DMAX('Workout Log'!$A$8:$T$209,"DeadliftWt",$I$3:$I15),0))</f>
      </c>
      <c r="F15" s="43">
        <f>IF(B15="","",IFERROR(DMAX('Workout Log'!$A$8:$T$209,"OHPWt",$I$3:$I15),0))</f>
      </c>
      <c r="G15" s="43">
        <f>IF(B15="","",IFERROR(DMAX('Workout Log'!$A$8:$T$209,"CleanWt",$I$3:$I15),0))</f>
      </c>
      <c r="H15" s="43">
        <f>IF(B15="","",IFERROR(DMAX('Body Weight Log'!$A$1:$B$200,"Weight (lbs)",$I$3:$I15),0))</f>
      </c>
      <c r="I15">
        <f>IF(B15="","","&lt;="&amp;B15)</f>
      </c>
    </row>
    <row r="16" spans="1:9" x14ac:dyDescent="0.25">
      <c r="A16" s="43">
        <v>13</v>
      </c>
      <c r="B16" s="28" t="s">
        <v>0</v>
      </c>
      <c r="C16" s="43">
        <f>IF(B16="","",IFERROR(DMAX('Workout Log'!$A$8:$T$209,"SquatWt",$I$3:$I16),0))</f>
      </c>
      <c r="D16" s="43">
        <f>IF(B16="","",IFERROR(DMAX('Workout Log'!$A$8:$T$209,"BenchWt",$I$3:$I16),0))</f>
      </c>
      <c r="E16" s="43">
        <f>IF(B16="","",IFERROR(DMAX('Workout Log'!$A$8:$T$209,"DeadliftWt",$I$3:$I16),0))</f>
      </c>
      <c r="F16" s="43">
        <f>IF(B16="","",IFERROR(DMAX('Workout Log'!$A$8:$T$209,"OHPWt",$I$3:$I16),0))</f>
      </c>
      <c r="G16" s="43">
        <f>IF(B16="","",IFERROR(DMAX('Workout Log'!$A$8:$T$209,"CleanWt",$I$3:$I16),0))</f>
      </c>
      <c r="H16" s="43">
        <f>IF(B16="","",IFERROR(DMAX('Body Weight Log'!$A$1:$B$200,"Weight (lbs)",$I$3:$I16),0))</f>
      </c>
      <c r="I16">
        <f>IF(B16="","","&lt;="&amp;B16)</f>
      </c>
    </row>
    <row r="17" spans="1:9" x14ac:dyDescent="0.25">
      <c r="A17" s="43">
        <v>14</v>
      </c>
      <c r="B17" s="28" t="s">
        <v>0</v>
      </c>
      <c r="C17" s="43">
        <f>IF(B17="","",IFERROR(DMAX('Workout Log'!$A$8:$T$209,"SquatWt",$I$3:$I17),0))</f>
      </c>
      <c r="D17" s="43">
        <f>IF(B17="","",IFERROR(DMAX('Workout Log'!$A$8:$T$209,"BenchWt",$I$3:$I17),0))</f>
      </c>
      <c r="E17" s="43">
        <f>IF(B17="","",IFERROR(DMAX('Workout Log'!$A$8:$T$209,"DeadliftWt",$I$3:$I17),0))</f>
      </c>
      <c r="F17" s="43">
        <f>IF(B17="","",IFERROR(DMAX('Workout Log'!$A$8:$T$209,"OHPWt",$I$3:$I17),0))</f>
      </c>
      <c r="G17" s="43">
        <f>IF(B17="","",IFERROR(DMAX('Workout Log'!$A$8:$T$209,"CleanWt",$I$3:$I17),0))</f>
      </c>
      <c r="H17" s="43">
        <f>IF(B17="","",IFERROR(DMAX('Body Weight Log'!$A$1:$B$200,"Weight (lbs)",$I$3:$I17),0))</f>
      </c>
      <c r="I17">
        <f>IF(B17="","","&lt;="&amp;B17)</f>
      </c>
    </row>
    <row r="18" spans="1:9" x14ac:dyDescent="0.25">
      <c r="A18" s="43">
        <v>15</v>
      </c>
      <c r="B18" s="28" t="s">
        <v>0</v>
      </c>
      <c r="C18" s="43">
        <f>IF(B18="","",IFERROR(DMAX('Workout Log'!$A$8:$T$209,"SquatWt",$I$3:$I18),0))</f>
      </c>
      <c r="D18" s="43">
        <f>IF(B18="","",IFERROR(DMAX('Workout Log'!$A$8:$T$209,"BenchWt",$I$3:$I18),0))</f>
      </c>
      <c r="E18" s="43">
        <f>IF(B18="","",IFERROR(DMAX('Workout Log'!$A$8:$T$209,"DeadliftWt",$I$3:$I18),0))</f>
      </c>
      <c r="F18" s="43">
        <f>IF(B18="","",IFERROR(DMAX('Workout Log'!$A$8:$T$209,"OHPWt",$I$3:$I18),0))</f>
      </c>
      <c r="G18" s="43">
        <f>IF(B18="","",IFERROR(DMAX('Workout Log'!$A$8:$T$209,"CleanWt",$I$3:$I18),0))</f>
      </c>
      <c r="H18" s="43">
        <f>IF(B18="","",IFERROR(DMAX('Body Weight Log'!$A$1:$B$200,"Weight (lbs)",$I$3:$I18),0))</f>
      </c>
      <c r="I18">
        <f>IF(B18="","","&lt;="&amp;B18)</f>
      </c>
    </row>
    <row r="19" spans="1:9" x14ac:dyDescent="0.25">
      <c r="A19" s="43">
        <v>16</v>
      </c>
      <c r="B19" s="28" t="s">
        <v>0</v>
      </c>
      <c r="C19" s="43">
        <f>IF(B19="","",IFERROR(DMAX('Workout Log'!$A$8:$T$209,"SquatWt",$I$3:$I19),0))</f>
      </c>
      <c r="D19" s="43">
        <f>IF(B19="","",IFERROR(DMAX('Workout Log'!$A$8:$T$209,"BenchWt",$I$3:$I19),0))</f>
      </c>
      <c r="E19" s="43">
        <f>IF(B19="","",IFERROR(DMAX('Workout Log'!$A$8:$T$209,"DeadliftWt",$I$3:$I19),0))</f>
      </c>
      <c r="F19" s="43">
        <f>IF(B19="","",IFERROR(DMAX('Workout Log'!$A$8:$T$209,"OHPWt",$I$3:$I19),0))</f>
      </c>
      <c r="G19" s="43">
        <f>IF(B19="","",IFERROR(DMAX('Workout Log'!$A$8:$T$209,"CleanWt",$I$3:$I19),0))</f>
      </c>
      <c r="H19" s="43">
        <f>IF(B19="","",IFERROR(DMAX('Body Weight Log'!$A$1:$B$200,"Weight (lbs)",$I$3:$I19),0))</f>
      </c>
      <c r="I19">
        <f>IF(B19="","","&lt;="&amp;B19)</f>
      </c>
    </row>
    <row r="20" spans="1:9" x14ac:dyDescent="0.25">
      <c r="A20" s="43">
        <v>17</v>
      </c>
      <c r="B20" s="28" t="s">
        <v>0</v>
      </c>
      <c r="C20" s="43">
        <f>IF(B20="","",IFERROR(DMAX('Workout Log'!$A$8:$T$209,"SquatWt",$I$3:$I20),0))</f>
      </c>
      <c r="D20" s="43">
        <f>IF(B20="","",IFERROR(DMAX('Workout Log'!$A$8:$T$209,"BenchWt",$I$3:$I20),0))</f>
      </c>
      <c r="E20" s="43">
        <f>IF(B20="","",IFERROR(DMAX('Workout Log'!$A$8:$T$209,"DeadliftWt",$I$3:$I20),0))</f>
      </c>
      <c r="F20" s="43">
        <f>IF(B20="","",IFERROR(DMAX('Workout Log'!$A$8:$T$209,"OHPWt",$I$3:$I20),0))</f>
      </c>
      <c r="G20" s="43">
        <f>IF(B20="","",IFERROR(DMAX('Workout Log'!$A$8:$T$209,"CleanWt",$I$3:$I20),0))</f>
      </c>
      <c r="H20" s="43">
        <f>IF(B20="","",IFERROR(DMAX('Body Weight Log'!$A$1:$B$200,"Weight (lbs)",$I$3:$I20),0))</f>
      </c>
      <c r="I20">
        <f>IF(B20="","","&lt;="&amp;B20)</f>
      </c>
    </row>
    <row r="21" spans="1:9" x14ac:dyDescent="0.25">
      <c r="A21" s="43">
        <v>18</v>
      </c>
      <c r="B21" s="28" t="s">
        <v>0</v>
      </c>
      <c r="C21" s="43">
        <f>IF(B21="","",IFERROR(DMAX('Workout Log'!$A$8:$T$209,"SquatWt",$I$3:$I21),0))</f>
      </c>
      <c r="D21" s="43">
        <f>IF(B21="","",IFERROR(DMAX('Workout Log'!$A$8:$T$209,"BenchWt",$I$3:$I21),0))</f>
      </c>
      <c r="E21" s="43">
        <f>IF(B21="","",IFERROR(DMAX('Workout Log'!$A$8:$T$209,"DeadliftWt",$I$3:$I21),0))</f>
      </c>
      <c r="F21" s="43">
        <f>IF(B21="","",IFERROR(DMAX('Workout Log'!$A$8:$T$209,"OHPWt",$I$3:$I21),0))</f>
      </c>
      <c r="G21" s="43">
        <f>IF(B21="","",IFERROR(DMAX('Workout Log'!$A$8:$T$209,"CleanWt",$I$3:$I21),0))</f>
      </c>
      <c r="H21" s="43">
        <f>IF(B21="","",IFERROR(DMAX('Body Weight Log'!$A$1:$B$200,"Weight (lbs)",$I$3:$I21),0))</f>
      </c>
      <c r="I21">
        <f>IF(B21="","","&lt;="&amp;B21)</f>
      </c>
    </row>
    <row r="22" spans="1:9" x14ac:dyDescent="0.25">
      <c r="A22" s="43">
        <v>19</v>
      </c>
      <c r="B22" s="28" t="s">
        <v>0</v>
      </c>
      <c r="C22" s="43">
        <f>IF(B22="","",IFERROR(DMAX('Workout Log'!$A$8:$T$209,"SquatWt",$I$3:$I22),0))</f>
      </c>
      <c r="D22" s="43">
        <f>IF(B22="","",IFERROR(DMAX('Workout Log'!$A$8:$T$209,"BenchWt",$I$3:$I22),0))</f>
      </c>
      <c r="E22" s="43">
        <f>IF(B22="","",IFERROR(DMAX('Workout Log'!$A$8:$T$209,"DeadliftWt",$I$3:$I22),0))</f>
      </c>
      <c r="F22" s="43">
        <f>IF(B22="","",IFERROR(DMAX('Workout Log'!$A$8:$T$209,"OHPWt",$I$3:$I22),0))</f>
      </c>
      <c r="G22" s="43">
        <f>IF(B22="","",IFERROR(DMAX('Workout Log'!$A$8:$T$209,"CleanWt",$I$3:$I22),0))</f>
      </c>
      <c r="H22" s="43">
        <f>IF(B22="","",IFERROR(DMAX('Body Weight Log'!$A$1:$B$200,"Weight (lbs)",$I$3:$I22),0))</f>
      </c>
      <c r="I22">
        <f>IF(B22="","","&lt;="&amp;B22)</f>
      </c>
    </row>
    <row r="23" spans="1:9" x14ac:dyDescent="0.25">
      <c r="A23" s="43">
        <v>20</v>
      </c>
      <c r="B23" s="28" t="s">
        <v>0</v>
      </c>
      <c r="C23" s="43">
        <f>IF(B23="","",IFERROR(DMAX('Workout Log'!$A$8:$T$209,"SquatWt",$I$3:$I23),0))</f>
      </c>
      <c r="D23" s="43">
        <f>IF(B23="","",IFERROR(DMAX('Workout Log'!$A$8:$T$209,"BenchWt",$I$3:$I23),0))</f>
      </c>
      <c r="E23" s="43">
        <f>IF(B23="","",IFERROR(DMAX('Workout Log'!$A$8:$T$209,"DeadliftWt",$I$3:$I23),0))</f>
      </c>
      <c r="F23" s="43">
        <f>IF(B23="","",IFERROR(DMAX('Workout Log'!$A$8:$T$209,"OHPWt",$I$3:$I23),0))</f>
      </c>
      <c r="G23" s="43">
        <f>IF(B23="","",IFERROR(DMAX('Workout Log'!$A$8:$T$209,"CleanWt",$I$3:$I23),0))</f>
      </c>
      <c r="H23" s="43">
        <f>IF(B23="","",IFERROR(DMAX('Body Weight Log'!$A$1:$B$200,"Weight (lbs)",$I$3:$I23),0))</f>
      </c>
      <c r="I23">
        <f>IF(B23="","","&lt;="&amp;B23)</f>
      </c>
    </row>
    <row r="24" spans="1:9" x14ac:dyDescent="0.25">
      <c r="A24" s="43">
        <v>21</v>
      </c>
      <c r="B24" s="28" t="s">
        <v>0</v>
      </c>
      <c r="C24" s="43">
        <f>IF(B24="","",IFERROR(DMAX('Workout Log'!$A$8:$T$209,"SquatWt",$I$3:$I24),0))</f>
      </c>
      <c r="D24" s="43">
        <f>IF(B24="","",IFERROR(DMAX('Workout Log'!$A$8:$T$209,"BenchWt",$I$3:$I24),0))</f>
      </c>
      <c r="E24" s="43">
        <f>IF(B24="","",IFERROR(DMAX('Workout Log'!$A$8:$T$209,"DeadliftWt",$I$3:$I24),0))</f>
      </c>
      <c r="F24" s="43">
        <f>IF(B24="","",IFERROR(DMAX('Workout Log'!$A$8:$T$209,"OHPWt",$I$3:$I24),0))</f>
      </c>
      <c r="G24" s="43">
        <f>IF(B24="","",IFERROR(DMAX('Workout Log'!$A$8:$T$209,"CleanWt",$I$3:$I24),0))</f>
      </c>
      <c r="H24" s="43">
        <f>IF(B24="","",IFERROR(DMAX('Body Weight Log'!$A$1:$B$200,"Weight (lbs)",$I$3:$I24),0))</f>
      </c>
      <c r="I24">
        <f>IF(B24="","","&lt;="&amp;B24)</f>
      </c>
    </row>
    <row r="25" spans="1:9" x14ac:dyDescent="0.25">
      <c r="A25" s="43">
        <v>22</v>
      </c>
      <c r="B25" s="28" t="s">
        <v>0</v>
      </c>
      <c r="C25" s="43">
        <f>IF(B25="","",IFERROR(DMAX('Workout Log'!$A$8:$T$209,"SquatWt",$I$3:$I25),0))</f>
      </c>
      <c r="D25" s="43">
        <f>IF(B25="","",IFERROR(DMAX('Workout Log'!$A$8:$T$209,"BenchWt",$I$3:$I25),0))</f>
      </c>
      <c r="E25" s="43">
        <f>IF(B25="","",IFERROR(DMAX('Workout Log'!$A$8:$T$209,"DeadliftWt",$I$3:$I25),0))</f>
      </c>
      <c r="F25" s="43">
        <f>IF(B25="","",IFERROR(DMAX('Workout Log'!$A$8:$T$209,"OHPWt",$I$3:$I25),0))</f>
      </c>
      <c r="G25" s="43">
        <f>IF(B25="","",IFERROR(DMAX('Workout Log'!$A$8:$T$209,"CleanWt",$I$3:$I25),0))</f>
      </c>
      <c r="H25" s="43">
        <f>IF(B25="","",IFERROR(DMAX('Body Weight Log'!$A$1:$B$200,"Weight (lbs)",$I$3:$I25),0))</f>
      </c>
      <c r="I25">
        <f>IF(B25="","","&lt;="&amp;B25)</f>
      </c>
    </row>
    <row r="26" spans="1:9" x14ac:dyDescent="0.25">
      <c r="A26" s="43">
        <v>23</v>
      </c>
      <c r="B26" s="28" t="s">
        <v>0</v>
      </c>
      <c r="C26" s="43">
        <f>IF(B26="","",IFERROR(DMAX('Workout Log'!$A$8:$T$209,"SquatWt",$I$3:$I26),0))</f>
      </c>
      <c r="D26" s="43">
        <f>IF(B26="","",IFERROR(DMAX('Workout Log'!$A$8:$T$209,"BenchWt",$I$3:$I26),0))</f>
      </c>
      <c r="E26" s="43">
        <f>IF(B26="","",IFERROR(DMAX('Workout Log'!$A$8:$T$209,"DeadliftWt",$I$3:$I26),0))</f>
      </c>
      <c r="F26" s="43">
        <f>IF(B26="","",IFERROR(DMAX('Workout Log'!$A$8:$T$209,"OHPWt",$I$3:$I26),0))</f>
      </c>
      <c r="G26" s="43">
        <f>IF(B26="","",IFERROR(DMAX('Workout Log'!$A$8:$T$209,"CleanWt",$I$3:$I26),0))</f>
      </c>
      <c r="H26" s="43">
        <f>IF(B26="","",IFERROR(DMAX('Body Weight Log'!$A$1:$B$200,"Weight (lbs)",$I$3:$I26),0))</f>
      </c>
      <c r="I26">
        <f>IF(B26="","","&lt;="&amp;B26)</f>
      </c>
    </row>
    <row r="27" spans="1:9" x14ac:dyDescent="0.25">
      <c r="A27" s="43">
        <v>24</v>
      </c>
      <c r="B27" s="28" t="s">
        <v>0</v>
      </c>
      <c r="C27" s="43">
        <f>IF(B27="","",IFERROR(DMAX('Workout Log'!$A$8:$T$209,"SquatWt",$I$3:$I27),0))</f>
      </c>
      <c r="D27" s="43">
        <f>IF(B27="","",IFERROR(DMAX('Workout Log'!$A$8:$T$209,"BenchWt",$I$3:$I27),0))</f>
      </c>
      <c r="E27" s="43">
        <f>IF(B27="","",IFERROR(DMAX('Workout Log'!$A$8:$T$209,"DeadliftWt",$I$3:$I27),0))</f>
      </c>
      <c r="F27" s="43">
        <f>IF(B27="","",IFERROR(DMAX('Workout Log'!$A$8:$T$209,"OHPWt",$I$3:$I27),0))</f>
      </c>
      <c r="G27" s="43">
        <f>IF(B27="","",IFERROR(DMAX('Workout Log'!$A$8:$T$209,"CleanWt",$I$3:$I27),0))</f>
      </c>
      <c r="H27" s="43">
        <f>IF(B27="","",IFERROR(DMAX('Body Weight Log'!$A$1:$B$200,"Weight (lbs)",$I$3:$I27),0))</f>
      </c>
      <c r="I27">
        <f>IF(B27="","","&lt;="&amp;B27)</f>
      </c>
    </row>
    <row r="28" spans="1:9" x14ac:dyDescent="0.25">
      <c r="A28" s="43">
        <v>25</v>
      </c>
      <c r="B28" s="28" t="s">
        <v>0</v>
      </c>
      <c r="C28" s="43">
        <f>IF(B28="","",IFERROR(DMAX('Workout Log'!$A$8:$T$209,"SquatWt",$I$3:$I28),0))</f>
      </c>
      <c r="D28" s="43">
        <f>IF(B28="","",IFERROR(DMAX('Workout Log'!$A$8:$T$209,"BenchWt",$I$3:$I28),0))</f>
      </c>
      <c r="E28" s="43">
        <f>IF(B28="","",IFERROR(DMAX('Workout Log'!$A$8:$T$209,"DeadliftWt",$I$3:$I28),0))</f>
      </c>
      <c r="F28" s="43">
        <f>IF(B28="","",IFERROR(DMAX('Workout Log'!$A$8:$T$209,"OHPWt",$I$3:$I28),0))</f>
      </c>
      <c r="G28" s="43">
        <f>IF(B28="","",IFERROR(DMAX('Workout Log'!$A$8:$T$209,"CleanWt",$I$3:$I28),0))</f>
      </c>
      <c r="H28" s="43">
        <f>IF(B28="","",IFERROR(DMAX('Body Weight Log'!$A$1:$B$200,"Weight (lbs)",$I$3:$I28),0))</f>
      </c>
      <c r="I28">
        <f>IF(B28="","","&lt;="&amp;B28)</f>
      </c>
    </row>
    <row r="29" spans="1:9" x14ac:dyDescent="0.25">
      <c r="A29" s="43">
        <v>26</v>
      </c>
      <c r="B29" s="28" t="s">
        <v>0</v>
      </c>
      <c r="C29" s="43">
        <f>IF(B29="","",IFERROR(DMAX('Workout Log'!$A$8:$T$209,"SquatWt",$I$3:$I29),0))</f>
      </c>
      <c r="D29" s="43">
        <f>IF(B29="","",IFERROR(DMAX('Workout Log'!$A$8:$T$209,"BenchWt",$I$3:$I29),0))</f>
      </c>
      <c r="E29" s="43">
        <f>IF(B29="","",IFERROR(DMAX('Workout Log'!$A$8:$T$209,"DeadliftWt",$I$3:$I29),0))</f>
      </c>
      <c r="F29" s="43">
        <f>IF(B29="","",IFERROR(DMAX('Workout Log'!$A$8:$T$209,"OHPWt",$I$3:$I29),0))</f>
      </c>
      <c r="G29" s="43">
        <f>IF(B29="","",IFERROR(DMAX('Workout Log'!$A$8:$T$209,"CleanWt",$I$3:$I29),0))</f>
      </c>
      <c r="H29" s="43">
        <f>IF(B29="","",IFERROR(DMAX('Body Weight Log'!$A$1:$B$200,"Weight (lbs)",$I$3:$I29),0))</f>
      </c>
      <c r="I29">
        <f>IF(B29="","","&lt;="&amp;B29)</f>
      </c>
    </row>
    <row r="30" spans="1:9" x14ac:dyDescent="0.25">
      <c r="A30" s="43">
        <v>27</v>
      </c>
      <c r="B30" s="28" t="s">
        <v>0</v>
      </c>
      <c r="C30" s="43">
        <f>IF(B30="","",IFERROR(DMAX('Workout Log'!$A$8:$T$209,"SquatWt",$I$3:$I30),0))</f>
      </c>
      <c r="D30" s="43">
        <f>IF(B30="","",IFERROR(DMAX('Workout Log'!$A$8:$T$209,"BenchWt",$I$3:$I30),0))</f>
      </c>
      <c r="E30" s="43">
        <f>IF(B30="","",IFERROR(DMAX('Workout Log'!$A$8:$T$209,"DeadliftWt",$I$3:$I30),0))</f>
      </c>
      <c r="F30" s="43">
        <f>IF(B30="","",IFERROR(DMAX('Workout Log'!$A$8:$T$209,"OHPWt",$I$3:$I30),0))</f>
      </c>
      <c r="G30" s="43">
        <f>IF(B30="","",IFERROR(DMAX('Workout Log'!$A$8:$T$209,"CleanWt",$I$3:$I30),0))</f>
      </c>
      <c r="H30" s="43">
        <f>IF(B30="","",IFERROR(DMAX('Body Weight Log'!$A$1:$B$200,"Weight (lbs)",$I$3:$I30),0))</f>
      </c>
      <c r="I30">
        <f>IF(B30="","","&lt;="&amp;B30)</f>
      </c>
    </row>
    <row r="31" spans="1:9" x14ac:dyDescent="0.25">
      <c r="A31" s="43">
        <v>28</v>
      </c>
      <c r="B31" s="28" t="s">
        <v>0</v>
      </c>
      <c r="C31" s="43">
        <f>IF(B31="","",IFERROR(DMAX('Workout Log'!$A$8:$T$209,"SquatWt",$I$3:$I31),0))</f>
      </c>
      <c r="D31" s="43">
        <f>IF(B31="","",IFERROR(DMAX('Workout Log'!$A$8:$T$209,"BenchWt",$I$3:$I31),0))</f>
      </c>
      <c r="E31" s="43">
        <f>IF(B31="","",IFERROR(DMAX('Workout Log'!$A$8:$T$209,"DeadliftWt",$I$3:$I31),0))</f>
      </c>
      <c r="F31" s="43">
        <f>IF(B31="","",IFERROR(DMAX('Workout Log'!$A$8:$T$209,"OHPWt",$I$3:$I31),0))</f>
      </c>
      <c r="G31" s="43">
        <f>IF(B31="","",IFERROR(DMAX('Workout Log'!$A$8:$T$209,"CleanWt",$I$3:$I31),0))</f>
      </c>
      <c r="H31" s="43">
        <f>IF(B31="","",IFERROR(DMAX('Body Weight Log'!$A$1:$B$200,"Weight (lbs)",$I$3:$I31),0))</f>
      </c>
      <c r="I31">
        <f>IF(B31="","","&lt;="&amp;B31)</f>
      </c>
    </row>
    <row r="32" spans="1:9" x14ac:dyDescent="0.25">
      <c r="A32" s="43">
        <v>29</v>
      </c>
      <c r="B32" s="28" t="s">
        <v>0</v>
      </c>
      <c r="C32" s="43">
        <f>IF(B32="","",IFERROR(DMAX('Workout Log'!$A$8:$T$209,"SquatWt",$I$3:$I32),0))</f>
      </c>
      <c r="D32" s="43">
        <f>IF(B32="","",IFERROR(DMAX('Workout Log'!$A$8:$T$209,"BenchWt",$I$3:$I32),0))</f>
      </c>
      <c r="E32" s="43">
        <f>IF(B32="","",IFERROR(DMAX('Workout Log'!$A$8:$T$209,"DeadliftWt",$I$3:$I32),0))</f>
      </c>
      <c r="F32" s="43">
        <f>IF(B32="","",IFERROR(DMAX('Workout Log'!$A$8:$T$209,"OHPWt",$I$3:$I32),0))</f>
      </c>
      <c r="G32" s="43">
        <f>IF(B32="","",IFERROR(DMAX('Workout Log'!$A$8:$T$209,"CleanWt",$I$3:$I32),0))</f>
      </c>
      <c r="H32" s="43">
        <f>IF(B32="","",IFERROR(DMAX('Body Weight Log'!$A$1:$B$200,"Weight (lbs)",$I$3:$I32),0))</f>
      </c>
      <c r="I32">
        <f>IF(B32="","","&lt;="&amp;B32)</f>
      </c>
    </row>
    <row r="33" spans="1:9" x14ac:dyDescent="0.25">
      <c r="A33" s="43">
        <v>30</v>
      </c>
      <c r="B33" s="28" t="s">
        <v>0</v>
      </c>
      <c r="C33" s="43">
        <f>IF(B33="","",IFERROR(DMAX('Workout Log'!$A$8:$T$209,"SquatWt",$I$3:$I33),0))</f>
      </c>
      <c r="D33" s="43">
        <f>IF(B33="","",IFERROR(DMAX('Workout Log'!$A$8:$T$209,"BenchWt",$I$3:$I33),0))</f>
      </c>
      <c r="E33" s="43">
        <f>IF(B33="","",IFERROR(DMAX('Workout Log'!$A$8:$T$209,"DeadliftWt",$I$3:$I33),0))</f>
      </c>
      <c r="F33" s="43">
        <f>IF(B33="","",IFERROR(DMAX('Workout Log'!$A$8:$T$209,"OHPWt",$I$3:$I33),0))</f>
      </c>
      <c r="G33" s="43">
        <f>IF(B33="","",IFERROR(DMAX('Workout Log'!$A$8:$T$209,"CleanWt",$I$3:$I33),0))</f>
      </c>
      <c r="H33" s="43">
        <f>IF(B33="","",IFERROR(DMAX('Body Weight Log'!$A$1:$B$200,"Weight (lbs)",$I$3:$I33),0))</f>
      </c>
      <c r="I33">
        <f>IF(B33="","","&lt;="&amp;B33)</f>
      </c>
    </row>
    <row r="34" spans="1:9" x14ac:dyDescent="0.25">
      <c r="A34" s="43">
        <v>31</v>
      </c>
      <c r="B34" s="28" t="s">
        <v>0</v>
      </c>
      <c r="C34" s="43">
        <f>IF(B34="","",IFERROR(DMAX('Workout Log'!$A$8:$T$209,"SquatWt",$I$3:$I34),0))</f>
      </c>
      <c r="D34" s="43">
        <f>IF(B34="","",IFERROR(DMAX('Workout Log'!$A$8:$T$209,"BenchWt",$I$3:$I34),0))</f>
      </c>
      <c r="E34" s="43">
        <f>IF(B34="","",IFERROR(DMAX('Workout Log'!$A$8:$T$209,"DeadliftWt",$I$3:$I34),0))</f>
      </c>
      <c r="F34" s="43">
        <f>IF(B34="","",IFERROR(DMAX('Workout Log'!$A$8:$T$209,"OHPWt",$I$3:$I34),0))</f>
      </c>
      <c r="G34" s="43">
        <f>IF(B34="","",IFERROR(DMAX('Workout Log'!$A$8:$T$209,"CleanWt",$I$3:$I34),0))</f>
      </c>
      <c r="H34" s="43">
        <f>IF(B34="","",IFERROR(DMAX('Body Weight Log'!$A$1:$B$200,"Weight (lbs)",$I$3:$I34),0))</f>
      </c>
      <c r="I34">
        <f>IF(B34="","","&lt;="&amp;B34)</f>
      </c>
    </row>
    <row r="35" spans="1:9" x14ac:dyDescent="0.25">
      <c r="A35" s="43">
        <v>32</v>
      </c>
      <c r="B35" s="28" t="s">
        <v>0</v>
      </c>
      <c r="C35" s="43">
        <f>IF(B35="","",IFERROR(DMAX('Workout Log'!$A$8:$T$209,"SquatWt",$I$3:$I35),0))</f>
      </c>
      <c r="D35" s="43">
        <f>IF(B35="","",IFERROR(DMAX('Workout Log'!$A$8:$T$209,"BenchWt",$I$3:$I35),0))</f>
      </c>
      <c r="E35" s="43">
        <f>IF(B35="","",IFERROR(DMAX('Workout Log'!$A$8:$T$209,"DeadliftWt",$I$3:$I35),0))</f>
      </c>
      <c r="F35" s="43">
        <f>IF(B35="","",IFERROR(DMAX('Workout Log'!$A$8:$T$209,"OHPWt",$I$3:$I35),0))</f>
      </c>
      <c r="G35" s="43">
        <f>IF(B35="","",IFERROR(DMAX('Workout Log'!$A$8:$T$209,"CleanWt",$I$3:$I35),0))</f>
      </c>
      <c r="H35" s="43">
        <f>IF(B35="","",IFERROR(DMAX('Body Weight Log'!$A$1:$B$200,"Weight (lbs)",$I$3:$I35),0))</f>
      </c>
      <c r="I35">
        <f>IF(B35="","","&lt;="&amp;B35)</f>
      </c>
    </row>
    <row r="36" spans="1:9" x14ac:dyDescent="0.25">
      <c r="A36" s="43">
        <v>33</v>
      </c>
      <c r="B36" s="28" t="s">
        <v>0</v>
      </c>
      <c r="C36" s="43">
        <f>IF(B36="","",IFERROR(DMAX('Workout Log'!$A$8:$T$209,"SquatWt",$I$3:$I36),0))</f>
      </c>
      <c r="D36" s="43">
        <f>IF(B36="","",IFERROR(DMAX('Workout Log'!$A$8:$T$209,"BenchWt",$I$3:$I36),0))</f>
      </c>
      <c r="E36" s="43">
        <f>IF(B36="","",IFERROR(DMAX('Workout Log'!$A$8:$T$209,"DeadliftWt",$I$3:$I36),0))</f>
      </c>
      <c r="F36" s="43">
        <f>IF(B36="","",IFERROR(DMAX('Workout Log'!$A$8:$T$209,"OHPWt",$I$3:$I36),0))</f>
      </c>
      <c r="G36" s="43">
        <f>IF(B36="","",IFERROR(DMAX('Workout Log'!$A$8:$T$209,"CleanWt",$I$3:$I36),0))</f>
      </c>
      <c r="H36" s="43">
        <f>IF(B36="","",IFERROR(DMAX('Body Weight Log'!$A$1:$B$200,"Weight (lbs)",$I$3:$I36),0))</f>
      </c>
      <c r="I36">
        <f>IF(B36="","","&lt;="&amp;B36)</f>
      </c>
    </row>
    <row r="37" spans="1:9" x14ac:dyDescent="0.25">
      <c r="A37" s="43">
        <v>34</v>
      </c>
      <c r="B37" s="28" t="s">
        <v>0</v>
      </c>
      <c r="C37" s="43">
        <f>IF(B37="","",IFERROR(DMAX('Workout Log'!$A$8:$T$209,"SquatWt",$I$3:$I37),0))</f>
      </c>
      <c r="D37" s="43">
        <f>IF(B37="","",IFERROR(DMAX('Workout Log'!$A$8:$T$209,"BenchWt",$I$3:$I37),0))</f>
      </c>
      <c r="E37" s="43">
        <f>IF(B37="","",IFERROR(DMAX('Workout Log'!$A$8:$T$209,"DeadliftWt",$I$3:$I37),0))</f>
      </c>
      <c r="F37" s="43">
        <f>IF(B37="","",IFERROR(DMAX('Workout Log'!$A$8:$T$209,"OHPWt",$I$3:$I37),0))</f>
      </c>
      <c r="G37" s="43">
        <f>IF(B37="","",IFERROR(DMAX('Workout Log'!$A$8:$T$209,"CleanWt",$I$3:$I37),0))</f>
      </c>
      <c r="H37" s="43">
        <f>IF(B37="","",IFERROR(DMAX('Body Weight Log'!$A$1:$B$200,"Weight (lbs)",$I$3:$I37),0))</f>
      </c>
      <c r="I37">
        <f>IF(B37="","","&lt;="&amp;B37)</f>
      </c>
    </row>
    <row r="38" spans="1:9" x14ac:dyDescent="0.25">
      <c r="A38" s="43">
        <v>35</v>
      </c>
      <c r="B38" s="28" t="s">
        <v>0</v>
      </c>
      <c r="C38" s="43">
        <f>IF(B38="","",IFERROR(DMAX('Workout Log'!$A$8:$T$209,"SquatWt",$I$3:$I38),0))</f>
      </c>
      <c r="D38" s="43">
        <f>IF(B38="","",IFERROR(DMAX('Workout Log'!$A$8:$T$209,"BenchWt",$I$3:$I38),0))</f>
      </c>
      <c r="E38" s="43">
        <f>IF(B38="","",IFERROR(DMAX('Workout Log'!$A$8:$T$209,"DeadliftWt",$I$3:$I38),0))</f>
      </c>
      <c r="F38" s="43">
        <f>IF(B38="","",IFERROR(DMAX('Workout Log'!$A$8:$T$209,"OHPWt",$I$3:$I38),0))</f>
      </c>
      <c r="G38" s="43">
        <f>IF(B38="","",IFERROR(DMAX('Workout Log'!$A$8:$T$209,"CleanWt",$I$3:$I38),0))</f>
      </c>
      <c r="H38" s="43">
        <f>IF(B38="","",IFERROR(DMAX('Body Weight Log'!$A$1:$B$200,"Weight (lbs)",$I$3:$I38),0))</f>
      </c>
      <c r="I38">
        <f>IF(B38="","","&lt;="&amp;B38)</f>
      </c>
    </row>
    <row r="39" spans="1:9" x14ac:dyDescent="0.25">
      <c r="A39" s="43">
        <v>36</v>
      </c>
      <c r="B39" s="28" t="s">
        <v>0</v>
      </c>
      <c r="C39" s="43">
        <f>IF(B39="","",IFERROR(DMAX('Workout Log'!$A$8:$T$209,"SquatWt",$I$3:$I39),0))</f>
      </c>
      <c r="D39" s="43">
        <f>IF(B39="","",IFERROR(DMAX('Workout Log'!$A$8:$T$209,"BenchWt",$I$3:$I39),0))</f>
      </c>
      <c r="E39" s="43">
        <f>IF(B39="","",IFERROR(DMAX('Workout Log'!$A$8:$T$209,"DeadliftWt",$I$3:$I39),0))</f>
      </c>
      <c r="F39" s="43">
        <f>IF(B39="","",IFERROR(DMAX('Workout Log'!$A$8:$T$209,"OHPWt",$I$3:$I39),0))</f>
      </c>
      <c r="G39" s="43">
        <f>IF(B39="","",IFERROR(DMAX('Workout Log'!$A$8:$T$209,"CleanWt",$I$3:$I39),0))</f>
      </c>
      <c r="H39" s="43">
        <f>IF(B39="","",IFERROR(DMAX('Body Weight Log'!$A$1:$B$200,"Weight (lbs)",$I$3:$I39),0))</f>
      </c>
      <c r="I39">
        <f>IF(B39="","","&lt;="&amp;B39)</f>
      </c>
    </row>
    <row r="40" spans="1:9" x14ac:dyDescent="0.25">
      <c r="A40" s="43">
        <v>37</v>
      </c>
      <c r="B40" s="28" t="s">
        <v>0</v>
      </c>
      <c r="C40" s="43">
        <f>IF(B40="","",IFERROR(DMAX('Workout Log'!$A$8:$T$209,"SquatWt",$I$3:$I40),0))</f>
      </c>
      <c r="D40" s="43">
        <f>IF(B40="","",IFERROR(DMAX('Workout Log'!$A$8:$T$209,"BenchWt",$I$3:$I40),0))</f>
      </c>
      <c r="E40" s="43">
        <f>IF(B40="","",IFERROR(DMAX('Workout Log'!$A$8:$T$209,"DeadliftWt",$I$3:$I40),0))</f>
      </c>
      <c r="F40" s="43">
        <f>IF(B40="","",IFERROR(DMAX('Workout Log'!$A$8:$T$209,"OHPWt",$I$3:$I40),0))</f>
      </c>
      <c r="G40" s="43">
        <f>IF(B40="","",IFERROR(DMAX('Workout Log'!$A$8:$T$209,"CleanWt",$I$3:$I40),0))</f>
      </c>
      <c r="H40" s="43">
        <f>IF(B40="","",IFERROR(DMAX('Body Weight Log'!$A$1:$B$200,"Weight (lbs)",$I$3:$I40),0))</f>
      </c>
      <c r="I40">
        <f>IF(B40="","","&lt;="&amp;B40)</f>
      </c>
    </row>
    <row r="41" spans="1:9" x14ac:dyDescent="0.25">
      <c r="A41" s="43">
        <v>38</v>
      </c>
      <c r="B41" s="28" t="s">
        <v>0</v>
      </c>
      <c r="C41" s="43">
        <f>IF(B41="","",IFERROR(DMAX('Workout Log'!$A$8:$T$209,"SquatWt",$I$3:$I41),0))</f>
      </c>
      <c r="D41" s="43">
        <f>IF(B41="","",IFERROR(DMAX('Workout Log'!$A$8:$T$209,"BenchWt",$I$3:$I41),0))</f>
      </c>
      <c r="E41" s="43">
        <f>IF(B41="","",IFERROR(DMAX('Workout Log'!$A$8:$T$209,"DeadliftWt",$I$3:$I41),0))</f>
      </c>
      <c r="F41" s="43">
        <f>IF(B41="","",IFERROR(DMAX('Workout Log'!$A$8:$T$209,"OHPWt",$I$3:$I41),0))</f>
      </c>
      <c r="G41" s="43">
        <f>IF(B41="","",IFERROR(DMAX('Workout Log'!$A$8:$T$209,"CleanWt",$I$3:$I41),0))</f>
      </c>
      <c r="H41" s="43">
        <f>IF(B41="","",IFERROR(DMAX('Body Weight Log'!$A$1:$B$200,"Weight (lbs)",$I$3:$I41),0))</f>
      </c>
      <c r="I41">
        <f>IF(B41="","","&lt;="&amp;B41)</f>
      </c>
    </row>
    <row r="42" spans="1:9" x14ac:dyDescent="0.25">
      <c r="A42" s="43">
        <v>39</v>
      </c>
      <c r="B42" s="28" t="s">
        <v>0</v>
      </c>
      <c r="C42" s="43">
        <f>IF(B42="","",IFERROR(DMAX('Workout Log'!$A$8:$T$209,"SquatWt",$I$3:$I42),0))</f>
      </c>
      <c r="D42" s="43">
        <f>IF(B42="","",IFERROR(DMAX('Workout Log'!$A$8:$T$209,"BenchWt",$I$3:$I42),0))</f>
      </c>
      <c r="E42" s="43">
        <f>IF(B42="","",IFERROR(DMAX('Workout Log'!$A$8:$T$209,"DeadliftWt",$I$3:$I42),0))</f>
      </c>
      <c r="F42" s="43">
        <f>IF(B42="","",IFERROR(DMAX('Workout Log'!$A$8:$T$209,"OHPWt",$I$3:$I42),0))</f>
      </c>
      <c r="G42" s="43">
        <f>IF(B42="","",IFERROR(DMAX('Workout Log'!$A$8:$T$209,"CleanWt",$I$3:$I42),0))</f>
      </c>
      <c r="H42" s="43">
        <f>IF(B42="","",IFERROR(DMAX('Body Weight Log'!$A$1:$B$200,"Weight (lbs)",$I$3:$I42),0))</f>
      </c>
      <c r="I42">
        <f>IF(B42="","","&lt;="&amp;B42)</f>
      </c>
    </row>
    <row r="43" spans="1:9" x14ac:dyDescent="0.25">
      <c r="A43" s="43">
        <v>40</v>
      </c>
      <c r="B43" s="28" t="s">
        <v>0</v>
      </c>
      <c r="C43" s="43">
        <f>IF(B43="","",IFERROR(DMAX('Workout Log'!$A$8:$T$209,"SquatWt",$I$3:$I43),0))</f>
      </c>
      <c r="D43" s="43">
        <f>IF(B43="","",IFERROR(DMAX('Workout Log'!$A$8:$T$209,"BenchWt",$I$3:$I43),0))</f>
      </c>
      <c r="E43" s="43">
        <f>IF(B43="","",IFERROR(DMAX('Workout Log'!$A$8:$T$209,"DeadliftWt",$I$3:$I43),0))</f>
      </c>
      <c r="F43" s="43">
        <f>IF(B43="","",IFERROR(DMAX('Workout Log'!$A$8:$T$209,"OHPWt",$I$3:$I43),0))</f>
      </c>
      <c r="G43" s="43">
        <f>IF(B43="","",IFERROR(DMAX('Workout Log'!$A$8:$T$209,"CleanWt",$I$3:$I43),0))</f>
      </c>
      <c r="H43" s="43">
        <f>IF(B43="","",IFERROR(DMAX('Body Weight Log'!$A$1:$B$200,"Weight (lbs)",$I$3:$I43),0))</f>
      </c>
      <c r="I43">
        <f>IF(B43="","","&lt;="&amp;B43)</f>
      </c>
    </row>
    <row r="44" spans="1:9" x14ac:dyDescent="0.25">
      <c r="A44" s="43">
        <v>41</v>
      </c>
      <c r="B44" s="28" t="s">
        <v>0</v>
      </c>
      <c r="C44" s="43">
        <f>IF(B44="","",IFERROR(DMAX('Workout Log'!$A$8:$T$209,"SquatWt",$I$3:$I44),0))</f>
      </c>
      <c r="D44" s="43">
        <f>IF(B44="","",IFERROR(DMAX('Workout Log'!$A$8:$T$209,"BenchWt",$I$3:$I44),0))</f>
      </c>
      <c r="E44" s="43">
        <f>IF(B44="","",IFERROR(DMAX('Workout Log'!$A$8:$T$209,"DeadliftWt",$I$3:$I44),0))</f>
      </c>
      <c r="F44" s="43">
        <f>IF(B44="","",IFERROR(DMAX('Workout Log'!$A$8:$T$209,"OHPWt",$I$3:$I44),0))</f>
      </c>
      <c r="G44" s="43">
        <f>IF(B44="","",IFERROR(DMAX('Workout Log'!$A$8:$T$209,"CleanWt",$I$3:$I44),0))</f>
      </c>
      <c r="H44" s="43">
        <f>IF(B44="","",IFERROR(DMAX('Body Weight Log'!$A$1:$B$200,"Weight (lbs)",$I$3:$I44),0))</f>
      </c>
      <c r="I44">
        <f>IF(B44="","","&lt;="&amp;B44)</f>
      </c>
    </row>
    <row r="45" spans="1:9" x14ac:dyDescent="0.25">
      <c r="A45" s="43">
        <v>42</v>
      </c>
      <c r="B45" s="28" t="s">
        <v>0</v>
      </c>
      <c r="C45" s="43">
        <f>IF(B45="","",IFERROR(DMAX('Workout Log'!$A$8:$T$209,"SquatWt",$I$3:$I45),0))</f>
      </c>
      <c r="D45" s="43">
        <f>IF(B45="","",IFERROR(DMAX('Workout Log'!$A$8:$T$209,"BenchWt",$I$3:$I45),0))</f>
      </c>
      <c r="E45" s="43">
        <f>IF(B45="","",IFERROR(DMAX('Workout Log'!$A$8:$T$209,"DeadliftWt",$I$3:$I45),0))</f>
      </c>
      <c r="F45" s="43">
        <f>IF(B45="","",IFERROR(DMAX('Workout Log'!$A$8:$T$209,"OHPWt",$I$3:$I45),0))</f>
      </c>
      <c r="G45" s="43">
        <f>IF(B45="","",IFERROR(DMAX('Workout Log'!$A$8:$T$209,"CleanWt",$I$3:$I45),0))</f>
      </c>
      <c r="H45" s="43">
        <f>IF(B45="","",IFERROR(DMAX('Body Weight Log'!$A$1:$B$200,"Weight (lbs)",$I$3:$I45),0))</f>
      </c>
      <c r="I45">
        <f>IF(B45="","","&lt;="&amp;B45)</f>
      </c>
    </row>
    <row r="46" spans="1:9" x14ac:dyDescent="0.25">
      <c r="A46" s="43">
        <v>43</v>
      </c>
      <c r="B46" s="28" t="s">
        <v>0</v>
      </c>
      <c r="C46" s="43">
        <f>IF(B46="","",IFERROR(DMAX('Workout Log'!$A$8:$T$209,"SquatWt",$I$3:$I46),0))</f>
      </c>
      <c r="D46" s="43">
        <f>IF(B46="","",IFERROR(DMAX('Workout Log'!$A$8:$T$209,"BenchWt",$I$3:$I46),0))</f>
      </c>
      <c r="E46" s="43">
        <f>IF(B46="","",IFERROR(DMAX('Workout Log'!$A$8:$T$209,"DeadliftWt",$I$3:$I46),0))</f>
      </c>
      <c r="F46" s="43">
        <f>IF(B46="","",IFERROR(DMAX('Workout Log'!$A$8:$T$209,"OHPWt",$I$3:$I46),0))</f>
      </c>
      <c r="G46" s="43">
        <f>IF(B46="","",IFERROR(DMAX('Workout Log'!$A$8:$T$209,"CleanWt",$I$3:$I46),0))</f>
      </c>
      <c r="H46" s="43">
        <f>IF(B46="","",IFERROR(DMAX('Body Weight Log'!$A$1:$B$200,"Weight (lbs)",$I$3:$I46),0))</f>
      </c>
      <c r="I46">
        <f>IF(B46="","","&lt;="&amp;B46)</f>
      </c>
    </row>
    <row r="47" spans="1:9" x14ac:dyDescent="0.25">
      <c r="A47" s="43">
        <v>44</v>
      </c>
      <c r="B47" s="28" t="s">
        <v>0</v>
      </c>
      <c r="C47" s="43">
        <f>IF(B47="","",IFERROR(DMAX('Workout Log'!$A$8:$T$209,"SquatWt",$I$3:$I47),0))</f>
      </c>
      <c r="D47" s="43">
        <f>IF(B47="","",IFERROR(DMAX('Workout Log'!$A$8:$T$209,"BenchWt",$I$3:$I47),0))</f>
      </c>
      <c r="E47" s="43">
        <f>IF(B47="","",IFERROR(DMAX('Workout Log'!$A$8:$T$209,"DeadliftWt",$I$3:$I47),0))</f>
      </c>
      <c r="F47" s="43">
        <f>IF(B47="","",IFERROR(DMAX('Workout Log'!$A$8:$T$209,"OHPWt",$I$3:$I47),0))</f>
      </c>
      <c r="G47" s="43">
        <f>IF(B47="","",IFERROR(DMAX('Workout Log'!$A$8:$T$209,"CleanWt",$I$3:$I47),0))</f>
      </c>
      <c r="H47" s="43">
        <f>IF(B47="","",IFERROR(DMAX('Body Weight Log'!$A$1:$B$200,"Weight (lbs)",$I$3:$I47),0))</f>
      </c>
      <c r="I47">
        <f>IF(B47="","","&lt;="&amp;B47)</f>
      </c>
    </row>
    <row r="48" spans="1:9" x14ac:dyDescent="0.25">
      <c r="A48" s="43">
        <v>45</v>
      </c>
      <c r="B48" s="28" t="s">
        <v>0</v>
      </c>
      <c r="C48" s="43">
        <f>IF(B48="","",IFERROR(DMAX('Workout Log'!$A$8:$T$209,"SquatWt",$I$3:$I48),0))</f>
      </c>
      <c r="D48" s="43">
        <f>IF(B48="","",IFERROR(DMAX('Workout Log'!$A$8:$T$209,"BenchWt",$I$3:$I48),0))</f>
      </c>
      <c r="E48" s="43">
        <f>IF(B48="","",IFERROR(DMAX('Workout Log'!$A$8:$T$209,"DeadliftWt",$I$3:$I48),0))</f>
      </c>
      <c r="F48" s="43">
        <f>IF(B48="","",IFERROR(DMAX('Workout Log'!$A$8:$T$209,"OHPWt",$I$3:$I48),0))</f>
      </c>
      <c r="G48" s="43">
        <f>IF(B48="","",IFERROR(DMAX('Workout Log'!$A$8:$T$209,"CleanWt",$I$3:$I48),0))</f>
      </c>
      <c r="H48" s="43">
        <f>IF(B48="","",IFERROR(DMAX('Body Weight Log'!$A$1:$B$200,"Weight (lbs)",$I$3:$I48),0))</f>
      </c>
      <c r="I48">
        <f>IF(B48="","","&lt;="&amp;B48)</f>
      </c>
    </row>
    <row r="49" spans="1:9" x14ac:dyDescent="0.25">
      <c r="A49" s="43">
        <v>46</v>
      </c>
      <c r="B49" s="28" t="s">
        <v>0</v>
      </c>
      <c r="C49" s="43">
        <f>IF(B49="","",IFERROR(DMAX('Workout Log'!$A$8:$T$209,"SquatWt",$I$3:$I49),0))</f>
      </c>
      <c r="D49" s="43">
        <f>IF(B49="","",IFERROR(DMAX('Workout Log'!$A$8:$T$209,"BenchWt",$I$3:$I49),0))</f>
      </c>
      <c r="E49" s="43">
        <f>IF(B49="","",IFERROR(DMAX('Workout Log'!$A$8:$T$209,"DeadliftWt",$I$3:$I49),0))</f>
      </c>
      <c r="F49" s="43">
        <f>IF(B49="","",IFERROR(DMAX('Workout Log'!$A$8:$T$209,"OHPWt",$I$3:$I49),0))</f>
      </c>
      <c r="G49" s="43">
        <f>IF(B49="","",IFERROR(DMAX('Workout Log'!$A$8:$T$209,"CleanWt",$I$3:$I49),0))</f>
      </c>
      <c r="H49" s="43">
        <f>IF(B49="","",IFERROR(DMAX('Body Weight Log'!$A$1:$B$200,"Weight (lbs)",$I$3:$I49),0))</f>
      </c>
      <c r="I49">
        <f>IF(B49="","","&lt;="&amp;B49)</f>
      </c>
    </row>
    <row r="50" spans="1:9" x14ac:dyDescent="0.25">
      <c r="A50" s="43">
        <v>47</v>
      </c>
      <c r="B50" s="28" t="s">
        <v>0</v>
      </c>
      <c r="C50" s="43">
        <f>IF(B50="","",IFERROR(DMAX('Workout Log'!$A$8:$T$209,"SquatWt",$I$3:$I50),0))</f>
      </c>
      <c r="D50" s="43">
        <f>IF(B50="","",IFERROR(DMAX('Workout Log'!$A$8:$T$209,"BenchWt",$I$3:$I50),0))</f>
      </c>
      <c r="E50" s="43">
        <f>IF(B50="","",IFERROR(DMAX('Workout Log'!$A$8:$T$209,"DeadliftWt",$I$3:$I50),0))</f>
      </c>
      <c r="F50" s="43">
        <f>IF(B50="","",IFERROR(DMAX('Workout Log'!$A$8:$T$209,"OHPWt",$I$3:$I50),0))</f>
      </c>
      <c r="G50" s="43">
        <f>IF(B50="","",IFERROR(DMAX('Workout Log'!$A$8:$T$209,"CleanWt",$I$3:$I50),0))</f>
      </c>
      <c r="H50" s="43">
        <f>IF(B50="","",IFERROR(DMAX('Body Weight Log'!$A$1:$B$200,"Weight (lbs)",$I$3:$I50),0))</f>
      </c>
      <c r="I50">
        <f>IF(B50="","","&lt;="&amp;B50)</f>
      </c>
    </row>
    <row r="51" spans="1:9" x14ac:dyDescent="0.25">
      <c r="A51" s="43">
        <v>48</v>
      </c>
      <c r="B51" s="28" t="s">
        <v>0</v>
      </c>
      <c r="C51" s="43">
        <f>IF(B51="","",IFERROR(DMAX('Workout Log'!$A$8:$T$209,"SquatWt",$I$3:$I51),0))</f>
      </c>
      <c r="D51" s="43">
        <f>IF(B51="","",IFERROR(DMAX('Workout Log'!$A$8:$T$209,"BenchWt",$I$3:$I51),0))</f>
      </c>
      <c r="E51" s="43">
        <f>IF(B51="","",IFERROR(DMAX('Workout Log'!$A$8:$T$209,"DeadliftWt",$I$3:$I51),0))</f>
      </c>
      <c r="F51" s="43">
        <f>IF(B51="","",IFERROR(DMAX('Workout Log'!$A$8:$T$209,"OHPWt",$I$3:$I51),0))</f>
      </c>
      <c r="G51" s="43">
        <f>IF(B51="","",IFERROR(DMAX('Workout Log'!$A$8:$T$209,"CleanWt",$I$3:$I51),0))</f>
      </c>
      <c r="H51" s="43">
        <f>IF(B51="","",IFERROR(DMAX('Body Weight Log'!$A$1:$B$200,"Weight (lbs)",$I$3:$I51),0))</f>
      </c>
      <c r="I51">
        <f>IF(B51="","","&lt;="&amp;B51)</f>
      </c>
    </row>
    <row r="52" spans="1:9" x14ac:dyDescent="0.25">
      <c r="A52" s="43">
        <v>49</v>
      </c>
      <c r="B52" s="28" t="s">
        <v>0</v>
      </c>
      <c r="C52" s="43">
        <f>IF(B52="","",IFERROR(DMAX('Workout Log'!$A$8:$T$209,"SquatWt",$I$3:$I52),0))</f>
      </c>
      <c r="D52" s="43">
        <f>IF(B52="","",IFERROR(DMAX('Workout Log'!$A$8:$T$209,"BenchWt",$I$3:$I52),0))</f>
      </c>
      <c r="E52" s="43">
        <f>IF(B52="","",IFERROR(DMAX('Workout Log'!$A$8:$T$209,"DeadliftWt",$I$3:$I52),0))</f>
      </c>
      <c r="F52" s="43">
        <f>IF(B52="","",IFERROR(DMAX('Workout Log'!$A$8:$T$209,"OHPWt",$I$3:$I52),0))</f>
      </c>
      <c r="G52" s="43">
        <f>IF(B52="","",IFERROR(DMAX('Workout Log'!$A$8:$T$209,"CleanWt",$I$3:$I52),0))</f>
      </c>
      <c r="H52" s="43">
        <f>IF(B52="","",IFERROR(DMAX('Body Weight Log'!$A$1:$B$200,"Weight (lbs)",$I$3:$I52),0))</f>
      </c>
      <c r="I52">
        <f>IF(B52="","","&lt;="&amp;B52)</f>
      </c>
    </row>
    <row r="53" spans="1:9" x14ac:dyDescent="0.25">
      <c r="A53" s="43">
        <v>50</v>
      </c>
      <c r="B53" s="28" t="s">
        <v>0</v>
      </c>
      <c r="C53" s="43">
        <f>IF(B53="","",IFERROR(DMAX('Workout Log'!$A$8:$T$209,"SquatWt",$I$3:$I53),0))</f>
      </c>
      <c r="D53" s="43">
        <f>IF(B53="","",IFERROR(DMAX('Workout Log'!$A$8:$T$209,"BenchWt",$I$3:$I53),0))</f>
      </c>
      <c r="E53" s="43">
        <f>IF(B53="","",IFERROR(DMAX('Workout Log'!$A$8:$T$209,"DeadliftWt",$I$3:$I53),0))</f>
      </c>
      <c r="F53" s="43">
        <f>IF(B53="","",IFERROR(DMAX('Workout Log'!$A$8:$T$209,"OHPWt",$I$3:$I53),0))</f>
      </c>
      <c r="G53" s="43">
        <f>IF(B53="","",IFERROR(DMAX('Workout Log'!$A$8:$T$209,"CleanWt",$I$3:$I53),0))</f>
      </c>
      <c r="H53" s="43">
        <f>IF(B53="","",IFERROR(DMAX('Body Weight Log'!$A$1:$B$200,"Weight (lbs)",$I$3:$I53),0))</f>
      </c>
      <c r="I53">
        <f>IF(B53="","","&lt;="&amp;B53)</f>
      </c>
    </row>
    <row r="54" spans="1:9" x14ac:dyDescent="0.25">
      <c r="A54" s="43">
        <v>51</v>
      </c>
      <c r="B54" s="28" t="s">
        <v>0</v>
      </c>
      <c r="C54" s="43">
        <f>IF(B54="","",IFERROR(DMAX('Workout Log'!$A$8:$T$209,"SquatWt",$I$3:$I54),0))</f>
      </c>
      <c r="D54" s="43">
        <f>IF(B54="","",IFERROR(DMAX('Workout Log'!$A$8:$T$209,"BenchWt",$I$3:$I54),0))</f>
      </c>
      <c r="E54" s="43">
        <f>IF(B54="","",IFERROR(DMAX('Workout Log'!$A$8:$T$209,"DeadliftWt",$I$3:$I54),0))</f>
      </c>
      <c r="F54" s="43">
        <f>IF(B54="","",IFERROR(DMAX('Workout Log'!$A$8:$T$209,"OHPWt",$I$3:$I54),0))</f>
      </c>
      <c r="G54" s="43">
        <f>IF(B54="","",IFERROR(DMAX('Workout Log'!$A$8:$T$209,"CleanWt",$I$3:$I54),0))</f>
      </c>
      <c r="H54" s="43">
        <f>IF(B54="","",IFERROR(DMAX('Body Weight Log'!$A$1:$B$200,"Weight (lbs)",$I$3:$I54),0))</f>
      </c>
      <c r="I54">
        <f>IF(B54="","","&lt;="&amp;B54)</f>
      </c>
    </row>
    <row r="55" spans="1:9" x14ac:dyDescent="0.25">
      <c r="A55" s="43">
        <v>52</v>
      </c>
      <c r="B55" s="28" t="s">
        <v>0</v>
      </c>
      <c r="C55" s="43">
        <f>IF(B55="","",IFERROR(DMAX('Workout Log'!$A$8:$T$209,"SquatWt",$I$3:$I55),0))</f>
      </c>
      <c r="D55" s="43">
        <f>IF(B55="","",IFERROR(DMAX('Workout Log'!$A$8:$T$209,"BenchWt",$I$3:$I55),0))</f>
      </c>
      <c r="E55" s="43">
        <f>IF(B55="","",IFERROR(DMAX('Workout Log'!$A$8:$T$209,"DeadliftWt",$I$3:$I55),0))</f>
      </c>
      <c r="F55" s="43">
        <f>IF(B55="","",IFERROR(DMAX('Workout Log'!$A$8:$T$209,"OHPWt",$I$3:$I55),0))</f>
      </c>
      <c r="G55" s="43">
        <f>IF(B55="","",IFERROR(DMAX('Workout Log'!$A$8:$T$209,"CleanWt",$I$3:$I55),0))</f>
      </c>
      <c r="H55" s="43">
        <f>IF(B55="","",IFERROR(DMAX('Body Weight Log'!$A$1:$B$200,"Weight (lbs)",$I$3:$I55),0))</f>
      </c>
      <c r="I55">
        <f>IF(B55="","","&lt;="&amp;B55)</f>
      </c>
    </row>
    <row r="56" spans="1:1" x14ac:dyDescent="0.25">
      <c r="A56" t="s">
        <v>0</v>
      </c>
    </row>
    <row r="57" spans="1:1" s="51" customFormat="1" x14ac:dyDescent="0.25">
      <c r="A57" s="51" t="s">
        <v>212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J18"/>
  <sheetFormatPr defaultRowHeight="15" outlineLevelRow="0" outlineLevelCol="0" x14ac:dyDescent="55"/>
  <sheetData>
    <row r="1" spans="1:10" s="45" customFormat="1" x14ac:dyDescent="0.25">
      <c r="A1" s="45" t="s">
        <v>213</v>
      </c>
      <c r="B1" s="45"/>
      <c r="C1" s="45"/>
      <c r="D1" s="45"/>
      <c r="E1" s="45"/>
      <c r="F1" s="45"/>
      <c r="G1" s="45"/>
      <c r="H1" s="45"/>
      <c r="I1" s="45"/>
      <c r="J1" s="45"/>
    </row>
    <row r="2" spans="1:1" x14ac:dyDescent="0.25">
      <c r="A2" t="s">
        <v>0</v>
      </c>
    </row>
    <row r="3" spans="1:1" x14ac:dyDescent="0.25">
      <c r="A3" t="s">
        <v>214</v>
      </c>
    </row>
    <row r="4" spans="1:1" x14ac:dyDescent="0.25">
      <c r="A4" t="s">
        <v>215</v>
      </c>
    </row>
    <row r="5" spans="1:1" x14ac:dyDescent="0.25">
      <c r="A5" t="s">
        <v>0</v>
      </c>
    </row>
    <row r="6" spans="1:1" s="33" customFormat="1" x14ac:dyDescent="0.25">
      <c r="A6" s="33" t="s">
        <v>216</v>
      </c>
    </row>
    <row r="7" spans="1:1" x14ac:dyDescent="0.25">
      <c r="A7" t="s">
        <v>217</v>
      </c>
    </row>
    <row r="8" spans="1:1" x14ac:dyDescent="0.25">
      <c r="A8" t="s">
        <v>218</v>
      </c>
    </row>
    <row r="9" spans="1:1" x14ac:dyDescent="0.25">
      <c r="A9" t="s">
        <v>219</v>
      </c>
    </row>
    <row r="10" spans="1:1" x14ac:dyDescent="0.25">
      <c r="A10" t="s">
        <v>220</v>
      </c>
    </row>
    <row r="11" spans="1:1" x14ac:dyDescent="0.25">
      <c r="A11" t="s">
        <v>221</v>
      </c>
    </row>
    <row r="12" spans="1:1" x14ac:dyDescent="0.25">
      <c r="A12" t="s">
        <v>0</v>
      </c>
    </row>
    <row r="13" spans="1:1" s="33" customFormat="1" x14ac:dyDescent="0.25">
      <c r="A13" s="33" t="s">
        <v>222</v>
      </c>
    </row>
    <row r="14" spans="1:3" x14ac:dyDescent="0.25">
      <c r="A14" s="33" t="s">
        <v>223</v>
      </c>
      <c r="B14" s="50">
        <f>IF(MAX('Workout Log'!$P$10:$P$209)=0,"No data",MAX('Workout Log'!$P$10:$P$209))</f>
      </c>
      <c r="C14" t="s">
        <v>60</v>
      </c>
    </row>
    <row r="15" spans="1:3" x14ac:dyDescent="0.25">
      <c r="A15" s="33" t="s">
        <v>224</v>
      </c>
      <c r="B15" s="50">
        <f>IF(MAX('Workout Log'!$Q$10:$Q$209)=0,"No data",MAX('Workout Log'!$Q$10:$Q$209))</f>
      </c>
      <c r="C15" t="s">
        <v>60</v>
      </c>
    </row>
    <row r="16" spans="1:3" x14ac:dyDescent="0.25">
      <c r="A16" s="33" t="s">
        <v>225</v>
      </c>
      <c r="B16" s="50">
        <f>IF(MAX('Workout Log'!$R$10:$R$209)=0,"No data",MAX('Workout Log'!$R$10:$R$209))</f>
      </c>
      <c r="C16" t="s">
        <v>60</v>
      </c>
    </row>
    <row r="17" spans="1:3" x14ac:dyDescent="0.25">
      <c r="A17" s="33" t="s">
        <v>226</v>
      </c>
      <c r="B17" s="50">
        <f>IF(MAX('Workout Log'!$S$10:$S$209)=0,"No data",MAX('Workout Log'!$S$10:$S$209))</f>
      </c>
      <c r="C17" t="s">
        <v>60</v>
      </c>
    </row>
    <row r="18" spans="1:3" x14ac:dyDescent="0.25">
      <c r="A18" s="33" t="s">
        <v>227</v>
      </c>
      <c r="B18" s="50">
        <f>IF(MAX('Workout Log'!$T$10:$T$209)=0,"No data",MAX('Workout Log'!$T$10:$T$209))</f>
      </c>
      <c r="C18" t="s">
        <v>60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D32"/>
  <sheetFormatPr defaultRowHeight="15" outlineLevelRow="0" outlineLevelCol="0" x14ac:dyDescent="55"/>
  <cols>
    <col min="1" max="1" width="25" customWidth="1"/>
    <col min="2" max="2" width="18" customWidth="1"/>
    <col min="3" max="3" width="3" customWidth="1"/>
    <col min="4" max="4" width="55" customWidth="1"/>
  </cols>
  <sheetData>
    <row r="1" spans="1:4" s="45" customFormat="1" x14ac:dyDescent="0.25">
      <c r="A1" s="45" t="s">
        <v>228</v>
      </c>
      <c r="B1" s="45"/>
      <c r="C1" s="45"/>
      <c r="D1" s="45"/>
    </row>
    <row r="2" spans="1:1" x14ac:dyDescent="0.25">
      <c r="A2" t="s">
        <v>0</v>
      </c>
    </row>
    <row r="3" spans="1:4" x14ac:dyDescent="0.25">
      <c r="A3" s="52" t="s">
        <v>229</v>
      </c>
      <c r="B3" s="53">
        <f>IF(MAX(B9:B13)&gt;=Settings!$B$21,"INTERMEDIATE","NOVICE")</f>
      </c>
      <c r="C3" t="s">
        <v>0</v>
      </c>
      <c r="D3">
        <f>IF(B3="NOVICE","Linear progression - adding weight every session","Weekly progression - recovery takes longer")</f>
      </c>
    </row>
    <row r="4" spans="1:1" x14ac:dyDescent="0.25">
      <c r="A4" t="s">
        <v>0</v>
      </c>
    </row>
    <row r="5" spans="1:4" x14ac:dyDescent="0.25">
      <c r="A5" s="33" t="s">
        <v>230</v>
      </c>
      <c r="B5" s="54">
        <f>IF(MAX(B9:B13)&gt;=Settings!$B$21,"⚠️ TRANSITION NEEDED",IF(MAX(B9:B13)&gt;=2,"⚡ WARNING","✓ ON TRACK"))</f>
      </c>
      <c r="C5" t="s">
        <v>0</v>
      </c>
      <c r="D5" t="s">
        <v>0</v>
      </c>
    </row>
    <row r="6" spans="1:1" x14ac:dyDescent="0.25">
      <c r="A6" t="s">
        <v>0</v>
      </c>
    </row>
    <row r="7" spans="1:4" s="55" customFormat="1" x14ac:dyDescent="0.25">
      <c r="A7" s="55" t="s">
        <v>231</v>
      </c>
      <c r="B7" s="55" t="s">
        <v>0</v>
      </c>
      <c r="C7" s="55" t="s">
        <v>0</v>
      </c>
      <c r="D7" s="55" t="s">
        <v>0</v>
      </c>
    </row>
    <row r="8" spans="1:4" s="33" customFormat="1" x14ac:dyDescent="0.25">
      <c r="A8" s="33" t="s">
        <v>150</v>
      </c>
      <c r="B8" s="33" t="s">
        <v>232</v>
      </c>
      <c r="C8" s="33" t="s">
        <v>0</v>
      </c>
      <c r="D8" s="33" t="s">
        <v>161</v>
      </c>
    </row>
    <row r="9" spans="1:4" x14ac:dyDescent="0.25">
      <c r="A9" t="s">
        <v>118</v>
      </c>
      <c r="B9" s="56">
        <f>SUMPRODUCT(('Workout Log'!C$10:C$209="Squat")*('Workout Log'!N$10:N$209="STALL")*1)</f>
      </c>
      <c r="C9" t="s">
        <v>0</v>
      </c>
      <c r="D9">
        <f>IF(B9&gt;=Settings!$B$21,"🔴 TRANSITION",IF(B9&gt;=2,"🟡 WARNING",IF(B9&gt;=1,"🟠 MONITOR","🟢 ON TRACK")))</f>
      </c>
    </row>
    <row r="10" spans="1:4" x14ac:dyDescent="0.25">
      <c r="A10" t="s">
        <v>119</v>
      </c>
      <c r="B10" s="56">
        <f>SUMPRODUCT(('Workout Log'!C$10:C$209="Bench Press")*('Workout Log'!N$10:N$209="STALL")*1)</f>
      </c>
      <c r="C10" t="s">
        <v>0</v>
      </c>
      <c r="D10">
        <f>IF(B10&gt;=Settings!$B$21,"🔴 TRANSITION",IF(B10&gt;=2,"🟡 WARNING",IF(B10&gt;=1,"🟠 MONITOR","🟢 ON TRACK")))</f>
      </c>
    </row>
    <row r="11" spans="1:4" x14ac:dyDescent="0.25">
      <c r="A11" t="s">
        <v>122</v>
      </c>
      <c r="B11" s="56">
        <f>SUMPRODUCT(('Workout Log'!C$10:C$209="Deadlift")*('Workout Log'!N$10:N$209="STALL")*1)</f>
      </c>
      <c r="C11" t="s">
        <v>0</v>
      </c>
      <c r="D11">
        <f>IF(B11&gt;=Settings!$B$21,"🔴 TRANSITION",IF(B11&gt;=2,"🟡 WARNING",IF(B11&gt;=1,"🟠 MONITOR","🟢 ON TRACK")))</f>
      </c>
    </row>
    <row r="12" spans="1:4" x14ac:dyDescent="0.25">
      <c r="A12" t="s">
        <v>126</v>
      </c>
      <c r="B12" s="56">
        <f>SUMPRODUCT(('Workout Log'!C$10:C$209="Overhead Press")*('Workout Log'!N$10:N$209="STALL")*1)</f>
      </c>
      <c r="C12" t="s">
        <v>0</v>
      </c>
      <c r="D12">
        <f>IF(B12&gt;=Settings!$B$21,"🔴 TRANSITION",IF(B12&gt;=2,"🟡 WARNING",IF(B12&gt;=1,"🟠 MONITOR","🟢 ON TRACK")))</f>
      </c>
    </row>
    <row r="13" spans="1:4" x14ac:dyDescent="0.25">
      <c r="A13" t="s">
        <v>130</v>
      </c>
      <c r="B13" s="56">
        <f>SUMPRODUCT(('Workout Log'!C$10:C$209="Power Clean")*('Workout Log'!N$10:N$209="STALL")*1)</f>
      </c>
      <c r="C13" t="s">
        <v>0</v>
      </c>
      <c r="D13">
        <f>IF(B13&gt;=Settings!$B$21,"🔴 TRANSITION",IF(B13&gt;=2,"🟡 WARNING",IF(B13&gt;=1,"🟠 MONITOR","🟢 ON TRACK")))</f>
      </c>
    </row>
    <row r="14" spans="1:1" x14ac:dyDescent="0.25">
      <c r="A14" t="s">
        <v>0</v>
      </c>
    </row>
    <row r="15" spans="1:1" x14ac:dyDescent="0.25">
      <c r="A15" t="s">
        <v>0</v>
      </c>
    </row>
    <row r="16" spans="1:4" s="55" customFormat="1" x14ac:dyDescent="0.25">
      <c r="A16" s="55" t="s">
        <v>233</v>
      </c>
      <c r="B16" s="55" t="s">
        <v>0</v>
      </c>
      <c r="C16" s="55" t="s">
        <v>0</v>
      </c>
      <c r="D16" s="55" t="s">
        <v>0</v>
      </c>
    </row>
    <row r="17" spans="1:1" x14ac:dyDescent="0.25">
      <c r="A17" t="s">
        <v>0</v>
      </c>
    </row>
    <row r="18" spans="1:4" s="33" customFormat="1" x14ac:dyDescent="0.25">
      <c r="A18" s="33" t="s">
        <v>234</v>
      </c>
      <c r="B18" s="33" t="s">
        <v>235</v>
      </c>
      <c r="C18" s="33" t="s">
        <v>0</v>
      </c>
      <c r="D18" s="33" t="s">
        <v>236</v>
      </c>
    </row>
    <row r="19" spans="1:4" x14ac:dyDescent="0.25">
      <c r="A19" t="s">
        <v>0</v>
      </c>
      <c r="B19" t="s">
        <v>0</v>
      </c>
      <c r="C19" t="s">
        <v>0</v>
      </c>
      <c r="D19" t="s">
        <v>237</v>
      </c>
    </row>
    <row r="20" spans="1:1" x14ac:dyDescent="0.25">
      <c r="A20" t="s">
        <v>0</v>
      </c>
    </row>
    <row r="21" spans="1:4" s="33" customFormat="1" x14ac:dyDescent="0.25">
      <c r="A21" s="33" t="s">
        <v>238</v>
      </c>
      <c r="B21" s="33" t="s">
        <v>239</v>
      </c>
      <c r="C21" s="33" t="s">
        <v>0</v>
      </c>
      <c r="D21" s="33" t="s">
        <v>240</v>
      </c>
    </row>
    <row r="22" spans="1:4" x14ac:dyDescent="0.25">
      <c r="A22" t="s">
        <v>0</v>
      </c>
      <c r="B22" t="s">
        <v>0</v>
      </c>
      <c r="C22" t="s">
        <v>0</v>
      </c>
      <c r="D22" t="s">
        <v>241</v>
      </c>
    </row>
    <row r="23" spans="1:1" x14ac:dyDescent="0.25">
      <c r="A23" t="s">
        <v>0</v>
      </c>
    </row>
    <row r="24" spans="1:4" s="33" customFormat="1" x14ac:dyDescent="0.25">
      <c r="A24" s="33" t="s">
        <v>242</v>
      </c>
      <c r="B24" s="33" t="s">
        <v>243</v>
      </c>
      <c r="C24" s="33" t="s">
        <v>0</v>
      </c>
      <c r="D24" s="33" t="s">
        <v>244</v>
      </c>
    </row>
    <row r="25" spans="1:1" x14ac:dyDescent="0.25">
      <c r="A25" t="s">
        <v>0</v>
      </c>
    </row>
    <row r="26" spans="1:4" s="55" customFormat="1" x14ac:dyDescent="0.25">
      <c r="A26" s="55" t="s">
        <v>245</v>
      </c>
      <c r="B26" s="55" t="s">
        <v>0</v>
      </c>
      <c r="C26" s="55" t="s">
        <v>0</v>
      </c>
      <c r="D26" s="55" t="s">
        <v>0</v>
      </c>
    </row>
    <row r="27" spans="1:1" x14ac:dyDescent="0.25">
      <c r="A27" t="s">
        <v>0</v>
      </c>
    </row>
    <row r="28" spans="1:4" s="33" customFormat="1" x14ac:dyDescent="0.25">
      <c r="A28" s="33" t="s">
        <v>246</v>
      </c>
      <c r="B28" s="33" t="s">
        <v>0</v>
      </c>
      <c r="C28" s="33" t="s">
        <v>0</v>
      </c>
      <c r="D28" s="33" t="s">
        <v>247</v>
      </c>
    </row>
    <row r="29" spans="1:4" s="33" customFormat="1" x14ac:dyDescent="0.25">
      <c r="A29" s="33" t="s">
        <v>248</v>
      </c>
      <c r="B29" s="33" t="s">
        <v>0</v>
      </c>
      <c r="C29" s="33" t="s">
        <v>0</v>
      </c>
      <c r="D29" s="33" t="s">
        <v>249</v>
      </c>
    </row>
    <row r="30" spans="1:4" s="33" customFormat="1" x14ac:dyDescent="0.25">
      <c r="A30" s="33" t="s">
        <v>250</v>
      </c>
      <c r="B30" s="33" t="s">
        <v>0</v>
      </c>
      <c r="C30" s="33" t="s">
        <v>0</v>
      </c>
      <c r="D30" s="33" t="s">
        <v>251</v>
      </c>
    </row>
    <row r="31" spans="1:1" x14ac:dyDescent="0.25">
      <c r="A31" t="s">
        <v>0</v>
      </c>
    </row>
    <row r="32" spans="1:4" s="33" customFormat="1" x14ac:dyDescent="0.25">
      <c r="A32" s="57" t="s">
        <v>252</v>
      </c>
      <c r="B32" s="33" t="s">
        <v>0</v>
      </c>
      <c r="C32" s="33" t="s">
        <v>0</v>
      </c>
      <c r="D32" s="33" t="s">
        <v>253</v>
      </c>
    </row>
  </sheetData>
  <mergeCells count="1">
    <mergeCell ref="A1:D1"/>
  </mergeCells>
  <conditionalFormatting sqref="B3">
    <cfRule type="containsText" dxfId="2" priority="1">
      <formula>NOT(ISERROR(SEARCH("NOVICE",B3)))</formula>
    </cfRule>
    <cfRule type="containsText" dxfId="3" priority="2">
      <formula>NOT(ISERROR(SEARCH("INTERMEDIATE",B3)))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README</vt:lpstr>
      <vt:lpstr>Settings</vt:lpstr>
      <vt:lpstr>Assistance Exercises</vt:lpstr>
      <vt:lpstr>Workout Log</vt:lpstr>
      <vt:lpstr>Warm-Up Calculator</vt:lpstr>
      <vt:lpstr>Body Weight Log</vt:lpstr>
      <vt:lpstr>Progress Summary</vt:lpstr>
      <vt:lpstr>Progress Chart</vt:lpstr>
      <vt:lpstr>Program Phase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Barbell Strength Tracker</dc:creator>
  <dc:title/>
  <dc:subject/>
  <dc:description/>
  <cp:keywords/>
  <cp:category/>
  <cp:lastModifiedBy>Unknown</cp:lastModifiedBy>
  <dcterms:created xsi:type="dcterms:W3CDTF">2026-02-01T16:46:15Z</dcterms:created>
  <dcterms:modified xsi:type="dcterms:W3CDTF">2026-02-01T16:46:15Z</dcterms:modified>
</cp:coreProperties>
</file>